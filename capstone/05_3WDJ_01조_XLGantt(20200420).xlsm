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91AB8045-AFC0-B76E-F17D-A240E00664AE}"/>
  <workbookPr codeName="ThisWorkbook"/>
  <mc:AlternateContent xmlns:mc="http://schemas.openxmlformats.org/markup-compatibility/2006">
    <mc:Choice Requires="x15">
      <x15ac:absPath xmlns:x15ac="http://schemas.microsoft.com/office/spreadsheetml/2010/11/ac" url="C:\Users\kjin1\OneDrive\Desktop\"/>
    </mc:Choice>
  </mc:AlternateContent>
  <xr:revisionPtr revIDLastSave="0" documentId="13_ncr:1_{968ED99C-351D-4127-92A8-76BB96E35A44}" xr6:coauthVersionLast="44" xr6:coauthVersionMax="45" xr10:uidLastSave="{00000000-0000-0000-0000-000000000000}"/>
  <bookViews>
    <workbookView xWindow="28680" yWindow="-120" windowWidth="29040" windowHeight="15840" tabRatio="632"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externalReferences>
    <externalReference r:id="rId10"/>
  </externalReferences>
  <definedNames>
    <definedName name="_xlnm._FilterDatabase" localSheetId="2" hidden="1">Schedule!$P$3:$AE$4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Schedule!$D$1:$DB$45</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 localSheetId="7">[1]Schedule!#REF!</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X5" i="2" l="1"/>
  <c r="CR5" i="2"/>
  <c r="AX6" i="2"/>
  <c r="AX7" i="2"/>
  <c r="AX8" i="2"/>
  <c r="AX9" i="2"/>
  <c r="AX10" i="2"/>
  <c r="BP11" i="2"/>
  <c r="AG12" i="2"/>
  <c r="AK13" i="2"/>
  <c r="AT14" i="2"/>
  <c r="BP15" i="2"/>
  <c r="BV17" i="2"/>
  <c r="CR17" i="2"/>
  <c r="BV18" i="2"/>
  <c r="CR18" i="2"/>
  <c r="BV19" i="2"/>
  <c r="CR19" i="2"/>
  <c r="BV20" i="2"/>
  <c r="CR20" i="2"/>
  <c r="BV21" i="2"/>
  <c r="CR21" i="2"/>
  <c r="BY22" i="2"/>
  <c r="CR22" i="2"/>
  <c r="BN23" i="2"/>
  <c r="BN24" i="2"/>
  <c r="BM25" i="2"/>
  <c r="BN26" i="2"/>
  <c r="BM27" i="2"/>
  <c r="BP27" i="2"/>
  <c r="BM28" i="2"/>
  <c r="BN29" i="2"/>
  <c r="BL30" i="2"/>
  <c r="BP30" i="2"/>
  <c r="BN31" i="2"/>
  <c r="BN32" i="2"/>
  <c r="BO33" i="2"/>
  <c r="BO34" i="2"/>
  <c r="BN35" i="2"/>
  <c r="BZ36" i="2"/>
  <c r="CR36" i="2"/>
  <c r="BH37" i="2"/>
  <c r="BP37" i="2"/>
  <c r="BI38" i="2"/>
  <c r="BP38" i="2"/>
  <c r="BG39" i="2"/>
  <c r="BP39" i="2"/>
  <c r="BY40" i="2"/>
  <c r="CR40" i="2"/>
  <c r="CB41" i="2"/>
  <c r="CR41" i="2"/>
  <c r="BW42" i="2"/>
  <c r="CR42" i="2"/>
  <c r="BJ43" i="2"/>
  <c r="BP43" i="2"/>
  <c r="BJ44" i="2"/>
  <c r="BP44" i="2"/>
  <c r="BJ45" i="2"/>
  <c r="BP45" i="2"/>
  <c r="J29" i="4" l="1"/>
  <c r="G29" i="4"/>
  <c r="D29" i="4"/>
  <c r="K7" i="4"/>
  <c r="K8" i="4" s="1"/>
  <c r="H7" i="4"/>
  <c r="E7" i="4"/>
  <c r="E8" i="4" s="1"/>
  <c r="E9" i="4" s="1"/>
  <c r="F7" i="4" l="1"/>
  <c r="I7" i="4"/>
  <c r="F8" i="4"/>
  <c r="K9" i="4"/>
  <c r="L8" i="4"/>
  <c r="F9" i="4"/>
  <c r="E10" i="4"/>
  <c r="H8" i="4"/>
  <c r="L7"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8" i="4" l="1"/>
  <c r="H9" i="4"/>
  <c r="F10" i="4"/>
  <c r="E11" i="4"/>
  <c r="K10" i="4"/>
  <c r="L9" i="4"/>
  <c r="B24" i="3"/>
  <c r="D1" i="2"/>
  <c r="AE2" i="2"/>
  <c r="AE1" i="2"/>
  <c r="K11" i="4" l="1"/>
  <c r="L10" i="4"/>
  <c r="F11" i="4"/>
  <c r="E12" i="4"/>
  <c r="I9" i="4"/>
  <c r="H10" i="4"/>
  <c r="F12" i="4" l="1"/>
  <c r="E13" i="4"/>
  <c r="I10" i="4"/>
  <c r="H11" i="4"/>
  <c r="L11" i="4"/>
  <c r="K12" i="4"/>
  <c r="L12" i="4" s="1"/>
  <c r="F13" i="4" l="1"/>
  <c r="E14" i="4"/>
  <c r="H12" i="4"/>
  <c r="I12" i="4" s="1"/>
  <c r="I11" i="4"/>
  <c r="E15" i="4" l="1"/>
  <c r="F14" i="4"/>
  <c r="E16" i="4" l="1"/>
  <c r="F15" i="4"/>
  <c r="E17" i="4" l="1"/>
  <c r="F16" i="4"/>
  <c r="F17" i="4" l="1"/>
  <c r="E18" i="4"/>
  <c r="E19" i="4" l="1"/>
  <c r="F18" i="4"/>
  <c r="E20" i="4" l="1"/>
  <c r="F19" i="4"/>
  <c r="F20" i="4" l="1"/>
  <c r="E21" i="4"/>
  <c r="E22" i="4" l="1"/>
  <c r="F21" i="4"/>
  <c r="F22" i="4" l="1"/>
  <c r="E23" i="4"/>
  <c r="E24" i="4" l="1"/>
  <c r="F23" i="4"/>
  <c r="F24" i="4" l="1"/>
  <c r="E25" i="4"/>
  <c r="F25" i="4" l="1"/>
  <c r="E26" i="4"/>
  <c r="E27" i="4" l="1"/>
  <c r="F26" i="4"/>
  <c r="F27" i="4" l="1"/>
  <c r="E28" i="4"/>
  <c r="F28" i="4" s="1"/>
</calcChain>
</file>

<file path=xl/sharedStrings.xml><?xml version="1.0" encoding="utf-8"?>
<sst xmlns="http://schemas.openxmlformats.org/spreadsheetml/2006/main" count="2381" uniqueCount="1443">
  <si>
    <t>Man/Day</t>
    <phoneticPr fontId="7" type="noConversion"/>
  </si>
  <si>
    <t>Man-Day</t>
  </si>
  <si>
    <t>Man-Month</t>
  </si>
  <si>
    <t>ITEM</t>
    <phoneticPr fontId="7" type="noConversion"/>
  </si>
  <si>
    <t>VALUE1</t>
    <phoneticPr fontId="7" type="noConversion"/>
  </si>
  <si>
    <t>VALUE2</t>
    <phoneticPr fontId="7" type="noConversion"/>
  </si>
  <si>
    <t>VALUE3</t>
  </si>
  <si>
    <t>INSERTED_DATE</t>
    <phoneticPr fontId="7" type="noConversion"/>
  </si>
  <si>
    <t>UPDATED_DATE</t>
    <phoneticPr fontId="7" type="noConversion"/>
  </si>
  <si>
    <t>COMPANY</t>
    <phoneticPr fontId="7" type="noConversion"/>
  </si>
  <si>
    <t>XLWorks</t>
    <phoneticPr fontId="7" type="noConversion"/>
  </si>
  <si>
    <t>DO NOT UPDATE</t>
    <phoneticPr fontId="7" type="noConversion"/>
  </si>
  <si>
    <t>AUTHOR_EMAIL</t>
    <phoneticPr fontId="7" type="noConversion"/>
  </si>
  <si>
    <t>PROGRAM_NAME</t>
    <phoneticPr fontId="7" type="noConversion"/>
  </si>
  <si>
    <t>XLGantt</t>
  </si>
  <si>
    <t>PROGRAM_SITE</t>
    <phoneticPr fontId="7" type="noConversion"/>
  </si>
  <si>
    <t>http://xlworks.net</t>
    <phoneticPr fontId="7" type="noConversion"/>
  </si>
  <si>
    <t>PROGRAM_SITE_DISP</t>
    <phoneticPr fontId="7" type="noConversion"/>
  </si>
  <si>
    <t>VERSION</t>
    <phoneticPr fontId="7" type="noConversion"/>
  </si>
  <si>
    <t>DO NOT UPDATE</t>
    <phoneticPr fontId="7" type="noConversion"/>
  </si>
  <si>
    <t>RELEASE_DATE</t>
    <phoneticPr fontId="7" type="noConversion"/>
  </si>
  <si>
    <t>LICENSE</t>
    <phoneticPr fontId="7" type="noConversion"/>
  </si>
  <si>
    <t>Freeware</t>
    <phoneticPr fontId="7" type="noConversion"/>
  </si>
  <si>
    <t>Name:projectName</t>
  </si>
  <si>
    <t>Name:isConfirmedProjectBasicInfo</t>
  </si>
  <si>
    <t>Name:projectStartDate</t>
  </si>
  <si>
    <t>Name:projectEndDate</t>
  </si>
  <si>
    <t>Name:optScheduleChangeMgt</t>
  </si>
  <si>
    <t>Name:optPlanRateCriteriaDate</t>
  </si>
  <si>
    <t>Name:chkDeliverablesMgt</t>
    <phoneticPr fontId="7" type="noConversion"/>
  </si>
  <si>
    <t>Name:savePathType</t>
    <phoneticPr fontId="7" type="noConversion"/>
  </si>
  <si>
    <t>Name:txtDefinedPath</t>
    <phoneticPr fontId="7" type="noConversion"/>
  </si>
  <si>
    <t>Name:txtAutoDefinedBasePath</t>
    <phoneticPr fontId="7" type="noConversion"/>
  </si>
  <si>
    <t>Name:txtPgmName1</t>
    <phoneticPr fontId="7" type="noConversion"/>
  </si>
  <si>
    <t>Name:txtFileExt1</t>
  </si>
  <si>
    <t>Name:txtPgmPath1</t>
    <phoneticPr fontId="7" type="noConversion"/>
  </si>
  <si>
    <t>Name:chkInclude2SelectList1</t>
    <phoneticPr fontId="7" type="noConversion"/>
  </si>
  <si>
    <t>Name:txtPgmName2</t>
    <phoneticPr fontId="7" type="noConversion"/>
  </si>
  <si>
    <t>Name:txtFileExt2</t>
    <phoneticPr fontId="7" type="noConversion"/>
  </si>
  <si>
    <t>Name:txtPgmPath2</t>
    <phoneticPr fontId="7" type="noConversion"/>
  </si>
  <si>
    <t>Name:chkInclude2SelectList2</t>
    <phoneticPr fontId="7" type="noConversion"/>
  </si>
  <si>
    <t>Name:txtPgmName3</t>
    <phoneticPr fontId="7" type="noConversion"/>
  </si>
  <si>
    <t>Name:txtFileExt3</t>
    <phoneticPr fontId="7" type="noConversion"/>
  </si>
  <si>
    <t>Name:txtPgmPath3</t>
    <phoneticPr fontId="7" type="noConversion"/>
  </si>
  <si>
    <t>Name:chkInclude2SelectList3</t>
    <phoneticPr fontId="7" type="noConversion"/>
  </si>
  <si>
    <t>Name:txtPgmName4</t>
    <phoneticPr fontId="7" type="noConversion"/>
  </si>
  <si>
    <t>Name:txtFileExt4</t>
    <phoneticPr fontId="7" type="noConversion"/>
  </si>
  <si>
    <t>Name:txtPgmPath4</t>
    <phoneticPr fontId="7" type="noConversion"/>
  </si>
  <si>
    <t>Name:chkInclude2SelectList4</t>
    <phoneticPr fontId="7" type="noConversion"/>
  </si>
  <si>
    <t>Name:txtPgmName5</t>
    <phoneticPr fontId="7" type="noConversion"/>
  </si>
  <si>
    <t>Name:txtFileExt5</t>
    <phoneticPr fontId="7" type="noConversion"/>
  </si>
  <si>
    <t>Name:txtPgmPath5</t>
    <phoneticPr fontId="7" type="noConversion"/>
  </si>
  <si>
    <t>Name:chkInclude2SelectList5</t>
    <phoneticPr fontId="7"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</si>
  <si>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</si>
  <si>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</si>
  <si>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</si>
  <si>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</si>
  <si>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</si>
  <si>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</si>
  <si>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</si>
  <si>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</si>
  <si>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</si>
  <si>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</si>
  <si>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</si>
  <si>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</si>
  <si>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</si>
  <si>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</si>
  <si>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</si>
  <si>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</si>
  <si>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</si>
  <si>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</si>
  <si>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</si>
  <si>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</si>
  <si>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</si>
  <si>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</si>
  <si>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</si>
  <si>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</si>
  <si>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</si>
  <si>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</si>
  <si>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</si>
  <si>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</si>
  <si>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</si>
  <si>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</si>
  <si>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</si>
  <si>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</si>
  <si>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</si>
  <si>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</si>
  <si>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</si>
  <si>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</si>
  <si>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</si>
  <si>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</si>
  <si>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</si>
  <si>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</si>
  <si>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</si>
  <si>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</si>
  <si>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</si>
  <si>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</si>
  <si>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</si>
  <si>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</si>
  <si>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</si>
  <si>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</si>
  <si>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</si>
  <si>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</si>
  <si>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</si>
  <si>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</si>
  <si>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</si>
  <si>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</si>
  <si>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</si>
  <si>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</si>
  <si>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</si>
  <si>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</si>
  <si>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</si>
  <si>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</si>
  <si>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</si>
  <si>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</si>
  <si>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</si>
  <si>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</si>
  <si>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</si>
  <si>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</si>
  <si>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</si>
  <si>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</si>
  <si>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</si>
  <si>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</si>
  <si>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</si>
  <si>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</si>
  <si>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</si>
  <si>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</si>
  <si>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</si>
  <si>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</si>
  <si>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</si>
  <si>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</si>
  <si>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</si>
  <si>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</si>
  <si>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</si>
  <si>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</si>
  <si>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</si>
  <si>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</si>
  <si>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</si>
  <si>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</si>
  <si>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</si>
  <si>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</si>
  <si>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</si>
  <si>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</si>
  <si>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</si>
  <si>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</si>
  <si>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</si>
  <si>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</si>
  <si>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</si>
  <si>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</si>
  <si>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</si>
  <si>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</si>
  <si>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</si>
  <si>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</si>
  <si>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</si>
  <si>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</si>
  <si>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</si>
  <si>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</si>
  <si>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</si>
  <si>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</si>
  <si>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</si>
  <si>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</si>
  <si>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</si>
  <si>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</si>
  <si>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</si>
  <si>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</si>
  <si>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</si>
  <si>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</si>
  <si>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</si>
  <si>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</si>
  <si>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</si>
  <si>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</si>
  <si>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</si>
  <si>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</si>
  <si>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</si>
  <si>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</si>
  <si>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</si>
  <si>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</si>
  <si>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</si>
  <si>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</si>
  <si>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</si>
  <si>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</si>
  <si>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</si>
  <si>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</si>
  <si>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</si>
  <si>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</si>
  <si>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</si>
  <si>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</si>
  <si>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</si>
  <si>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</si>
  <si>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</si>
  <si>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</si>
  <si>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</si>
  <si>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</si>
  <si>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</si>
  <si>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</si>
  <si>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</si>
  <si>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</si>
  <si>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</si>
  <si>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</si>
  <si>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</si>
  <si>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</si>
  <si>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</si>
  <si>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</si>
  <si>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</si>
  <si>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</si>
  <si>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</si>
  <si>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</si>
  <si>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</si>
  <si>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</si>
  <si>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</si>
  <si>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</si>
  <si>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</si>
  <si>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</si>
  <si>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</si>
  <si>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</si>
  <si>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</si>
  <si>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</si>
  <si>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</si>
  <si>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</si>
  <si>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</si>
  <si>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</si>
  <si>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</si>
  <si>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</si>
  <si>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</si>
  <si>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</si>
  <si>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</si>
  <si>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</si>
  <si>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</si>
  <si>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</si>
  <si>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</si>
  <si>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</si>
  <si>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</si>
  <si>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</si>
  <si>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</si>
  <si>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</si>
  <si>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</si>
  <si>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</si>
  <si>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</si>
  <si>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</si>
  <si>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</si>
  <si>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</si>
  <si>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</si>
  <si>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</si>
  <si>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</si>
  <si>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</si>
  <si>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</si>
  <si>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</si>
  <si>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</si>
  <si>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</si>
  <si>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</si>
  <si>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</si>
  <si>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</si>
  <si>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</si>
  <si>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</si>
  <si>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</si>
  <si>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</si>
  <si>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</si>
  <si>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</si>
  <si>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</si>
  <si>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</si>
  <si>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</si>
  <si>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</si>
  <si>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</si>
  <si>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</si>
  <si>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</si>
  <si>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</si>
  <si>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</si>
  <si>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</si>
  <si>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</si>
  <si>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</si>
  <si>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</si>
  <si>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</si>
  <si>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</si>
  <si>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</si>
  <si>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</si>
  <si>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</si>
  <si>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</si>
  <si>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</si>
  <si>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</si>
  <si>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</si>
  <si>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</si>
  <si>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</si>
  <si>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</si>
  <si>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</si>
  <si>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</si>
  <si>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</si>
  <si>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</si>
  <si>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</si>
  <si>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</si>
  <si>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</si>
  <si>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</si>
  <si>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</si>
  <si>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</si>
  <si>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</si>
  <si>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</si>
  <si>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</si>
  <si>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</si>
  <si>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</si>
  <si>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</si>
  <si>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</si>
  <si>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</si>
  <si>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</si>
  <si>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</si>
  <si>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</si>
  <si>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</si>
  <si>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</si>
  <si>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</si>
  <si>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</si>
  <si>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</si>
  <si>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</si>
  <si>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</si>
  <si>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</si>
  <si>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</si>
  <si>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</si>
  <si>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</si>
  <si>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</si>
  <si>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</si>
  <si>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</si>
  <si>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</si>
  <si>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</si>
  <si>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</si>
  <si>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</si>
  <si>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</si>
  <si>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</si>
  <si>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</si>
  <si>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</si>
  <si>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</si>
  <si>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</si>
  <si>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</si>
  <si>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</si>
  <si>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</si>
  <si>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</si>
  <si>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</si>
  <si>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</si>
  <si>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</si>
  <si>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</si>
  <si>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</si>
  <si>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</si>
  <si>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</si>
  <si>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</si>
  <si>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</si>
  <si>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</si>
  <si>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</si>
  <si>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</si>
  <si>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</si>
  <si>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</si>
  <si>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</si>
  <si>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</si>
  <si>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</si>
  <si>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</si>
  <si>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</si>
  <si>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</si>
  <si>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</si>
  <si>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</si>
  <si>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</si>
  <si>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</si>
  <si>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</si>
  <si>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</si>
  <si>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</si>
  <si>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</si>
  <si>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</si>
  <si>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</si>
  <si>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</si>
  <si>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</si>
  <si>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</si>
  <si>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</si>
  <si>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</si>
  <si>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</si>
  <si>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</si>
  <si>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</si>
  <si>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</si>
  <si>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</si>
  <si>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</si>
  <si>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</si>
  <si>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</si>
  <si>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</si>
  <si>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</si>
  <si>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</si>
  <si>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</si>
  <si>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</si>
  <si>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</si>
  <si>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</si>
  <si>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</si>
  <si>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</si>
  <si>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</si>
  <si>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</si>
  <si>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</si>
  <si>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</si>
  <si>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</si>
  <si>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7" type="noConversion"/>
  </si>
  <si>
    <t>admin@xlworks.net</t>
    <phoneticPr fontId="7"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</si>
  <si>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</si>
  <si>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</si>
  <si>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</si>
  <si>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</si>
  <si>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</si>
  <si>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</si>
  <si>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</si>
  <si>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</si>
  <si>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</si>
  <si>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</si>
  <si>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</si>
  <si>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</si>
  <si>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</si>
  <si>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</si>
  <si>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</si>
  <si>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</si>
  <si>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</si>
  <si>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</si>
  <si>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</si>
  <si>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</si>
  <si>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</si>
  <si>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</si>
  <si>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</si>
  <si>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</si>
  <si>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</si>
  <si>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</si>
  <si>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</si>
  <si>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</si>
  <si>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</si>
  <si>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</si>
  <si>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</si>
  <si>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</si>
  <si>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</si>
  <si>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</si>
  <si>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</si>
  <si>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</si>
  <si>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</si>
  <si>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</si>
  <si>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</si>
  <si>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</si>
  <si>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</si>
  <si>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</si>
  <si>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</si>
  <si>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</si>
  <si>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</si>
  <si>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</si>
  <si>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</si>
  <si>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</si>
  <si>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</si>
  <si>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</si>
  <si>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</si>
  <si>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</si>
  <si>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</si>
  <si>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</si>
  <si>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</si>
  <si>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</si>
  <si>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</si>
  <si>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</si>
  <si>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</si>
  <si>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</si>
  <si>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</si>
  <si>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</si>
  <si>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</si>
  <si>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</si>
  <si>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</si>
  <si>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</si>
  <si>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</si>
  <si>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</si>
  <si>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</si>
  <si>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</si>
  <si>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</si>
  <si>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</si>
  <si>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</si>
  <si>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</si>
  <si>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</si>
  <si>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</si>
  <si>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</si>
  <si>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</si>
  <si>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</si>
  <si>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</si>
  <si>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</si>
  <si>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</si>
  <si>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</si>
  <si>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</si>
  <si>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</si>
  <si>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</si>
  <si>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</si>
  <si>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</si>
  <si>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</si>
  <si>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</si>
  <si>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</si>
  <si>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</si>
  <si>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</si>
  <si>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</si>
  <si>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</si>
  <si>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</si>
  <si>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</si>
  <si>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</si>
  <si>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</si>
  <si>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</si>
  <si>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</si>
  <si>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</si>
  <si>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</si>
  <si>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</si>
  <si>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</si>
  <si>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</si>
  <si>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7"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</si>
  <si>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</si>
  <si>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</si>
  <si>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</si>
  <si>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</si>
  <si>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</si>
  <si>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7" type="noConversion"/>
  </si>
  <si>
    <t>Saturdays, Sundays and the dates entered in the Calendar sheet_x000D_</t>
    <phoneticPr fontId="2" type="noConversion"/>
  </si>
  <si>
    <t>Actual__Total Work</t>
    <phoneticPr fontId="7" type="noConversion"/>
  </si>
  <si>
    <t>Reserved</t>
    <phoneticPr fontId="7" type="noConversion"/>
  </si>
  <si>
    <t>Text Index</t>
    <phoneticPr fontId="7" type="noConversion"/>
  </si>
  <si>
    <t>Description</t>
    <phoneticPr fontId="7"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</si>
  <si>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</si>
  <si>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</si>
  <si>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</si>
  <si>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</si>
  <si>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</si>
  <si>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7" type="noConversion"/>
  </si>
  <si>
    <t>%Work__Complete</t>
    <phoneticPr fontId="7" type="noConversion"/>
  </si>
  <si>
    <t>manual input</t>
    <phoneticPr fontId="2" type="noConversion"/>
  </si>
  <si>
    <t>Actual</t>
    <phoneticPr fontId="2" type="noConversion"/>
  </si>
  <si>
    <t>실적</t>
    <phoneticPr fontId="2" type="noConversion"/>
  </si>
  <si>
    <t>Actual Total__Duration</t>
    <phoneticPr fontId="7" type="noConversion"/>
  </si>
  <si>
    <t>for import columun</t>
    <phoneticPr fontId="7" type="noConversion"/>
  </si>
  <si>
    <t>Actual__Finish</t>
    <phoneticPr fontId="7" type="noConversion"/>
  </si>
  <si>
    <t>Actual__Start</t>
    <phoneticPr fontId="7" type="noConversion"/>
  </si>
  <si>
    <t>Actual__Total Duration</t>
    <phoneticPr fontId="7"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</si>
  <si>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</si>
  <si>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</si>
  <si>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</si>
  <si>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</si>
  <si>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7" type="noConversion"/>
  </si>
  <si>
    <t>Planned__Duration</t>
    <phoneticPr fontId="7" type="noConversion"/>
  </si>
  <si>
    <t>Planned__Work</t>
    <phoneticPr fontId="7"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</si>
  <si>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</si>
  <si>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</si>
  <si>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7" type="noConversion"/>
  </si>
  <si>
    <t>Total__Work</t>
    <phoneticPr fontId="7" type="noConversion"/>
  </si>
  <si>
    <t>Would you like to update the schedule before saving?</t>
    <phoneticPr fontId="7" type="noConversion"/>
  </si>
  <si>
    <t>Name:groupRows</t>
  </si>
  <si>
    <t>Group rows</t>
    <phoneticPr fontId="2" type="noConversion"/>
  </si>
  <si>
    <t>C:\Temp</t>
    <phoneticPr fontId="7" type="noConversion"/>
  </si>
  <si>
    <t>Display font color to the gray for the completed tasks</t>
    <phoneticPr fontId="2" type="noConversion"/>
  </si>
  <si>
    <t>비고</t>
  </si>
  <si>
    <t>가중치</t>
  </si>
  <si>
    <t>담당</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</si>
  <si>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</si>
  <si>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</si>
  <si>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</si>
  <si>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</si>
  <si>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</si>
  <si>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</si>
  <si>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</si>
  <si>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30" type="noConversion"/>
  </si>
  <si>
    <t>사용법</t>
    <phoneticPr fontId="30" type="noConversion"/>
  </si>
  <si>
    <t>시트 구성</t>
    <phoneticPr fontId="30" type="noConversion"/>
  </si>
  <si>
    <t>작업과 일정을 입력하면 진척율이 계산되며 작업의 일정을 간트차트로 표시해 준다.</t>
    <phoneticPr fontId="2" type="noConversion"/>
  </si>
  <si>
    <t>작업입력, 스케줄 업데이트</t>
    <phoneticPr fontId="2" type="noConversion"/>
  </si>
  <si>
    <t>간단 사용법</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</si>
  <si>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</si>
  <si>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</si>
  <si>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(숨겨진 시트) 언어별 번역이 들어 있다.</t>
    <phoneticPr fontId="2" type="noConversion"/>
  </si>
  <si>
    <t>Gantt Chart Zoom Ratio(Max 999%)</t>
    <phoneticPr fontId="2" type="noConversion"/>
  </si>
  <si>
    <t>Display date on timescale</t>
    <phoneticPr fontId="2" type="noConversion"/>
  </si>
  <si>
    <t>Name:dateDispOnTimescale</t>
  </si>
  <si>
    <t>ppt*</t>
    <phoneticPr fontId="7" type="noConversion"/>
  </si>
  <si>
    <t>간트차트 눈금에 날짜 표시</t>
    <phoneticPr fontId="2" type="noConversion"/>
  </si>
  <si>
    <t>메모장</t>
    <phoneticPr fontId="7"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</si>
  <si>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</si>
  <si>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</si>
  <si>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</si>
  <si>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</si>
  <si>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</si>
  <si>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</si>
  <si>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7" type="noConversion"/>
  </si>
  <si>
    <t>WBS</t>
    <phoneticPr fontId="7" type="noConversion"/>
  </si>
  <si>
    <t>Calendar</t>
    <phoneticPr fontId="7" type="noConversion"/>
  </si>
  <si>
    <t>doc*</t>
    <phoneticPr fontId="7" type="noConversion"/>
  </si>
  <si>
    <t>xls*</t>
    <phoneticPr fontId="7" type="noConversion"/>
  </si>
  <si>
    <t>txt</t>
    <phoneticPr fontId="7" type="noConversion"/>
  </si>
  <si>
    <t>E</t>
    <phoneticPr fontId="2" type="noConversion"/>
  </si>
  <si>
    <t>1:English,82:Korean</t>
    <phoneticPr fontId="2" type="noConversion"/>
  </si>
  <si>
    <t>reserved</t>
    <phoneticPr fontId="7" type="noConversion"/>
  </si>
  <si>
    <t>C:\WINDOWS\system32\notepad.exe</t>
    <phoneticPr fontId="7" type="noConversion"/>
  </si>
  <si>
    <t>wbs_level</t>
    <phoneticPr fontId="7" type="noConversion"/>
  </si>
  <si>
    <t>시작일</t>
  </si>
  <si>
    <t>완료일</t>
  </si>
  <si>
    <t>[담당자미지정]</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</si>
  <si>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</si>
  <si>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</si>
  <si>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</si>
  <si>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</si>
  <si>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</si>
  <si>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</si>
  <si>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</si>
  <si>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간트차트 표시방법 설정</t>
    <phoneticPr fontId="2" type="noConversion"/>
  </si>
  <si>
    <t>프로젝트 전체 진행상황 파악하기</t>
    <phoneticPr fontId="2" type="noConversion"/>
  </si>
  <si>
    <t>분석 리포트</t>
    <phoneticPr fontId="2" type="noConversion"/>
  </si>
  <si>
    <t>일정계획 변경관리</t>
  </si>
  <si>
    <t>일정계획 변경관리</t>
    <phoneticPr fontId="2" type="noConversion"/>
  </si>
  <si>
    <t>산출물 관리</t>
    <phoneticPr fontId="2" type="noConversion"/>
  </si>
  <si>
    <t>Microsoft Outlook작업, 일정등록</t>
    <phoneticPr fontId="2" type="noConversion"/>
  </si>
  <si>
    <t>다국어 지원</t>
    <phoneticPr fontId="2" type="noConversion"/>
  </si>
  <si>
    <t>다른 파일에서 일정 가져오기</t>
    <phoneticPr fontId="2" type="noConversion"/>
  </si>
  <si>
    <t>Excel기능과 통합</t>
    <phoneticPr fontId="2" type="noConversion"/>
  </si>
  <si>
    <t>Calendar관리</t>
    <phoneticPr fontId="2" type="noConversion"/>
  </si>
  <si>
    <t>작업</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</si>
  <si>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</si>
  <si>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</si>
  <si>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</si>
  <si>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</si>
  <si>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</si>
  <si>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</si>
  <si>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</si>
  <si>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</si>
  <si>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</si>
  <si>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</si>
  <si>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</si>
  <si>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</si>
  <si>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</si>
  <si>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</si>
  <si>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</si>
  <si>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</si>
  <si>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</si>
  <si>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</si>
  <si>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</si>
  <si>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</si>
  <si>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</si>
  <si>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</si>
  <si>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</si>
  <si>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</si>
  <si>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</si>
  <si>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</si>
  <si>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</si>
  <si>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</si>
  <si>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</si>
  <si>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</si>
  <si>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</si>
  <si>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</si>
  <si>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</si>
  <si>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</si>
  <si>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</si>
  <si>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</si>
  <si>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</si>
  <si>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</si>
  <si>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</si>
  <si>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</si>
  <si>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</si>
  <si>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</si>
  <si>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</si>
  <si>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</si>
  <si>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</si>
  <si>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</si>
  <si>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</si>
  <si>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</si>
  <si>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</si>
  <si>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</si>
  <si>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</si>
  <si>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</si>
  <si>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</si>
  <si>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</si>
  <si>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</si>
  <si>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</si>
  <si>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</si>
  <si>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</si>
  <si>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</si>
  <si>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</si>
  <si>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</si>
  <si>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7" type="noConversion"/>
  </si>
  <si>
    <t>실제\n총기간</t>
  </si>
  <si>
    <t>실제 총작업량\n(총ManDay,_x000D_가중치 감안)</t>
    <phoneticPr fontId="7" type="noConversion"/>
  </si>
  <si>
    <t>실제__완료일</t>
    <phoneticPr fontId="7" type="noConversion"/>
  </si>
  <si>
    <t>실제__시작일</t>
    <phoneticPr fontId="7" type="noConversion"/>
  </si>
  <si>
    <t>실제__총기간</t>
    <phoneticPr fontId="7" type="noConversion"/>
  </si>
  <si>
    <t>실제__총작업량</t>
    <phoneticPr fontId="7"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</si>
  <si>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</si>
  <si>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</si>
  <si>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</si>
  <si>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</si>
  <si>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</si>
  <si>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</si>
  <si>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</si>
  <si>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</si>
  <si>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</si>
  <si>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</si>
  <si>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</si>
  <si>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</si>
  <si>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</si>
  <si>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</si>
  <si>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</si>
  <si>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</si>
  <si>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</si>
  <si>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</si>
  <si>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</si>
  <si>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</si>
  <si>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</si>
  <si>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</si>
  <si>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</si>
  <si>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</si>
  <si>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</si>
  <si>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</si>
  <si>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</si>
  <si>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</si>
  <si>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</si>
  <si>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</si>
  <si>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</si>
  <si>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</si>
  <si>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</si>
  <si>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</si>
  <si>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</si>
  <si>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</si>
  <si>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</si>
  <si>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</si>
  <si>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</si>
  <si>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</si>
  <si>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</si>
  <si>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</si>
  <si>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</si>
  <si>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</si>
  <si>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</si>
  <si>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</si>
  <si>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</si>
  <si>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</si>
  <si>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</si>
  <si>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</si>
  <si>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</si>
  <si>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</si>
  <si>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</si>
  <si>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</si>
  <si>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</si>
  <si>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</si>
  <si>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</si>
  <si>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</si>
  <si>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</si>
  <si>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</si>
  <si>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</si>
  <si>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</si>
  <si>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</si>
  <si>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</si>
  <si>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</si>
  <si>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</si>
  <si>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</si>
  <si>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</si>
  <si>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</si>
  <si>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</si>
  <si>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</si>
  <si>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</si>
  <si>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</si>
  <si>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</si>
  <si>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</si>
  <si>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</si>
  <si>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</si>
  <si>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</si>
  <si>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</si>
  <si>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</si>
  <si>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</si>
  <si>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</si>
  <si>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</si>
  <si>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</si>
  <si>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</si>
  <si>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</si>
  <si>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</si>
  <si>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</si>
  <si>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</si>
  <si>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</si>
  <si>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</si>
  <si>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</si>
  <si>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</si>
  <si>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</si>
  <si>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</si>
  <si>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</si>
  <si>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</si>
  <si>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</si>
  <si>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</si>
  <si>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</si>
  <si>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</si>
  <si>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</si>
  <si>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</si>
  <si>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</si>
  <si>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</si>
  <si>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</si>
  <si>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</si>
  <si>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</si>
  <si>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</si>
  <si>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</si>
  <si>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</si>
  <si>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</si>
  <si>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</si>
  <si>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</si>
  <si>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</si>
  <si>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</si>
  <si>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</si>
  <si>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</si>
  <si>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</si>
  <si>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</si>
  <si>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</si>
  <si>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</si>
  <si>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</si>
  <si>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</si>
  <si>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</si>
  <si>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</si>
  <si>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</si>
  <si>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</si>
  <si>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</si>
  <si>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</si>
  <si>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</si>
  <si>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</si>
  <si>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</si>
  <si>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</si>
  <si>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</si>
  <si>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</si>
  <si>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</si>
  <si>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</si>
  <si>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</si>
  <si>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</si>
  <si>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</si>
  <si>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</si>
  <si>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7" type="noConversion"/>
  </si>
  <si>
    <t>계획__작업량</t>
    <phoneticPr fontId="7"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</si>
  <si>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</si>
  <si>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</si>
  <si>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</si>
  <si>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</si>
  <si>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</si>
  <si>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</si>
  <si>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</si>
  <si>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</si>
  <si>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</si>
  <si>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</si>
  <si>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</si>
  <si>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</si>
  <si>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</si>
  <si>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</si>
  <si>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</si>
  <si>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</si>
  <si>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</si>
  <si>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</si>
  <si>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</si>
  <si>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</si>
  <si>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</si>
  <si>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</si>
  <si>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</si>
  <si>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</si>
  <si>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</si>
  <si>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</si>
  <si>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</si>
  <si>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</si>
  <si>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</si>
  <si>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</si>
  <si>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</si>
  <si>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</si>
  <si>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</si>
  <si>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</si>
  <si>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</si>
  <si>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</si>
  <si>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</si>
  <si>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</si>
  <si>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</si>
  <si>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</si>
  <si>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</si>
  <si>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</si>
  <si>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</si>
  <si>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</si>
  <si>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</si>
  <si>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</si>
  <si>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</si>
  <si>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</si>
  <si>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</si>
  <si>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</si>
  <si>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</si>
  <si>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</si>
  <si>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</si>
  <si>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</si>
  <si>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</si>
  <si>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</si>
  <si>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</si>
  <si>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</si>
  <si>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</si>
  <si>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</si>
  <si>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</si>
  <si>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</si>
  <si>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</si>
  <si>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</si>
  <si>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</si>
  <si>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</si>
  <si>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</si>
  <si>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</si>
  <si>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</si>
  <si>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</si>
  <si>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</si>
  <si>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</si>
  <si>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</si>
  <si>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</si>
  <si>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</si>
  <si>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</si>
  <si>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</si>
  <si>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</si>
  <si>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</si>
  <si>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</si>
  <si>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</si>
  <si>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</si>
  <si>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</si>
  <si>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</si>
  <si>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</si>
  <si>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</si>
  <si>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</si>
  <si>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</si>
  <si>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7"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</si>
  <si>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</si>
  <si>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</si>
  <si>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</si>
  <si>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</si>
  <si>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</si>
  <si>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</si>
  <si>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</si>
  <si>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</si>
  <si>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</si>
  <si>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</si>
  <si>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</si>
  <si>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</si>
  <si>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</si>
  <si>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</si>
  <si>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</si>
  <si>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</si>
  <si>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</si>
  <si>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</si>
  <si>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</si>
  <si>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</si>
  <si>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</si>
  <si>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</si>
  <si>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</si>
  <si>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</si>
  <si>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</si>
  <si>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</si>
  <si>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</si>
  <si>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</si>
  <si>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</si>
  <si>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</si>
  <si>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</si>
  <si>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</si>
  <si>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</si>
  <si>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</si>
  <si>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</si>
  <si>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</si>
  <si>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7" type="noConversion"/>
  </si>
  <si>
    <t>총__작업량</t>
    <phoneticPr fontId="7"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</si>
  <si>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</si>
  <si>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</si>
  <si>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</si>
  <si>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</si>
  <si>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</si>
  <si>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</si>
  <si>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</si>
  <si>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</si>
  <si>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</si>
  <si>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</si>
  <si>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</si>
  <si>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</si>
  <si>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</si>
  <si>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</si>
  <si>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</si>
  <si>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</si>
  <si>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</si>
  <si>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</si>
  <si>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</si>
  <si>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</si>
  <si>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</si>
  <si>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</si>
  <si>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</si>
  <si>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7"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</si>
  <si>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</si>
  <si>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</si>
  <si>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</si>
  <si>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</si>
  <si>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</si>
  <si>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</si>
  <si>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</si>
  <si>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</si>
  <si>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</si>
  <si>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</si>
  <si>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</si>
  <si>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</si>
  <si>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</si>
  <si>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</si>
  <si>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</si>
  <si>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</si>
  <si>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</si>
  <si>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</si>
  <si>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</si>
  <si>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</si>
  <si>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</si>
  <si>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</si>
  <si>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</si>
  <si>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</si>
  <si>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</si>
  <si>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</si>
  <si>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</si>
  <si>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</si>
  <si>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</si>
  <si>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</si>
  <si>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</si>
  <si>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</si>
  <si>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</si>
  <si>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</si>
  <si>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</si>
  <si>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</si>
  <si>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</si>
  <si>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</si>
  <si>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</si>
  <si>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</si>
  <si>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</si>
  <si>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</si>
  <si>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</si>
  <si>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</si>
  <si>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설계</t>
  </si>
  <si>
    <t>wbs_level</t>
  </si>
  <si>
    <t>xlgantt_reserved</t>
  </si>
  <si>
    <t>xlgantt_task_connection</t>
  </si>
  <si>
    <t>xlgantt_task_id</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</si>
  <si>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</si>
  <si>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</si>
  <si>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</si>
  <si>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</si>
  <si>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</si>
  <si>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</si>
  <si>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</si>
  <si>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</si>
  <si>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</si>
  <si>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</si>
  <si>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</si>
  <si>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</si>
  <si>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</si>
  <si>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</si>
  <si>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</si>
  <si>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</si>
  <si>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</si>
  <si>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</si>
  <si>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</si>
  <si>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</si>
  <si>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</si>
  <si>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</si>
  <si>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</si>
  <si>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</si>
  <si>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</si>
  <si>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</si>
  <si>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7" type="noConversion"/>
  </si>
  <si>
    <t>AutoCAD</t>
    <phoneticPr fontId="7" type="noConversion"/>
  </si>
  <si>
    <t>C:\Program Files\Autodesk\AutoCAD 2019\acad.exe</t>
    <phoneticPr fontId="7" type="noConversion"/>
  </si>
  <si>
    <t>Notepad++</t>
    <phoneticPr fontId="7" type="noConversion"/>
  </si>
  <si>
    <t>html</t>
    <phoneticPr fontId="7" type="noConversion"/>
  </si>
  <si>
    <t>C:\Program Files\Notepad++\notepad++.exe</t>
    <phoneticPr fontId="7" type="noConversion"/>
  </si>
  <si>
    <t>XYZ시스템 구축</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</si>
  <si>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</si>
  <si>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</si>
  <si>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</si>
  <si>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</si>
  <si>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</si>
  <si>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</si>
  <si>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</si>
  <si>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</si>
  <si>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</si>
  <si>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</si>
  <si>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</si>
  <si>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</si>
  <si>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</si>
  <si>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</si>
  <si>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</si>
  <si>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</si>
  <si>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</si>
  <si>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</si>
  <si>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</si>
  <si>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</si>
  <si>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</si>
  <si>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</si>
  <si>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</si>
  <si>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</si>
  <si>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</si>
  <si>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</si>
  <si>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</si>
  <si>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</si>
  <si>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</si>
  <si>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</si>
  <si>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</si>
  <si>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</si>
  <si>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</si>
  <si>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</si>
  <si>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</si>
  <si>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</si>
  <si>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</si>
  <si>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</si>
  <si>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</si>
  <si>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</si>
  <si>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</si>
  <si>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</si>
  <si>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</si>
  <si>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</si>
  <si>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</si>
  <si>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</si>
  <si>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</si>
  <si>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</si>
  <si>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</si>
  <si>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</si>
  <si>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</si>
  <si>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</si>
  <si>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</si>
  <si>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</si>
  <si>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</si>
  <si>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</si>
  <si>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</si>
  <si>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</si>
  <si>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</si>
  <si>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TODAY</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</si>
  <si>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</si>
  <si>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</si>
  <si>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</si>
  <si>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</si>
  <si>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</si>
  <si>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</si>
  <si>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</si>
  <si>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</si>
  <si>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 프로젝트 작업량과 진척율을 보여줍니다.</t>
    <phoneticPr fontId="7" type="noConversion"/>
  </si>
  <si>
    <t>* "스케줄업데이트" 버튼 클릭 시 아래 항목이 자동계산됩니다.</t>
    <phoneticPr fontId="7" type="noConversion"/>
  </si>
  <si>
    <t>프로젝트 전체 작업량</t>
    <phoneticPr fontId="7" type="noConversion"/>
  </si>
  <si>
    <t>프로젝트 전체의 작업량을 Man/Day로 표시한다. 가중치를 적용한 값이다.</t>
    <phoneticPr fontId="7" type="noConversion"/>
  </si>
  <si>
    <t>현재일까지 계획된 작업량</t>
    <phoneticPr fontId="7" type="noConversion"/>
  </si>
  <si>
    <t>해당작업의 시작일부터 현재일까지의 작업기간을 의미함(현재 날짜까지 진행되었어야 할 기간)</t>
    <phoneticPr fontId="7" type="noConversion"/>
  </si>
  <si>
    <t>일정변경 관리할 때 현재까지 실제로 투입된 작업기간을 표시함</t>
    <phoneticPr fontId="7" type="noConversion"/>
  </si>
  <si>
    <t>계획 진척율(A)</t>
    <phoneticPr fontId="7" type="noConversion"/>
  </si>
  <si>
    <t>현재날짜까지 계획된 진척율, WBS의 "계획진척율"의 전체 합계 진척율을 표시함</t>
    <phoneticPr fontId="7" type="noConversion"/>
  </si>
  <si>
    <t>실적 진척율(B)</t>
    <phoneticPr fontId="7" type="noConversion"/>
  </si>
  <si>
    <t>현재날짜까지 실제로 진행된 진척율, WBS의 "실적진척율"의 전체 합계 진척율을 표시함</t>
    <phoneticPr fontId="7" type="noConversion"/>
  </si>
  <si>
    <t>차이(B-A)</t>
    <phoneticPr fontId="7" type="noConversion"/>
  </si>
  <si>
    <t>양수이면 계획보다 빨리 진행, 음수이면 지연</t>
    <phoneticPr fontId="7" type="noConversion"/>
  </si>
  <si>
    <t>작업*</t>
    <phoneticPr fontId="7" type="noConversion"/>
  </si>
  <si>
    <t>비고</t>
    <phoneticPr fontId="7" type="noConversion"/>
  </si>
  <si>
    <t>시작일*</t>
    <phoneticPr fontId="7" type="noConversion"/>
  </si>
  <si>
    <t>완료일*</t>
    <phoneticPr fontId="7" type="noConversion"/>
  </si>
  <si>
    <t>총_x000D_
작업량</t>
    <phoneticPr fontId="7" type="noConversion"/>
  </si>
  <si>
    <t>계획_x000D_
작업량</t>
    <phoneticPr fontId="7" type="noConversion"/>
  </si>
  <si>
    <t>총_x000D_
기간</t>
    <phoneticPr fontId="7" type="noConversion"/>
  </si>
  <si>
    <t>계획_x000D_
기간</t>
    <phoneticPr fontId="7" type="noConversion"/>
  </si>
  <si>
    <t>실제_x000D_
시작일</t>
    <phoneticPr fontId="7" type="noConversion"/>
  </si>
  <si>
    <t>실제_x000D_
완료일</t>
    <phoneticPr fontId="7" type="noConversion"/>
  </si>
  <si>
    <t>실제_x000D_
총작업량</t>
    <phoneticPr fontId="7" type="noConversion"/>
  </si>
  <si>
    <t>실제_x000D_
총기간</t>
    <phoneticPr fontId="7" type="noConversion"/>
  </si>
  <si>
    <t>가중치</t>
    <phoneticPr fontId="7" type="noConversion"/>
  </si>
  <si>
    <t>담당</t>
    <phoneticPr fontId="7" type="noConversion"/>
  </si>
  <si>
    <t>산출물</t>
    <phoneticPr fontId="7" type="noConversion"/>
  </si>
  <si>
    <t>계획</t>
    <phoneticPr fontId="7" type="noConversion"/>
  </si>
  <si>
    <t>실적*</t>
    <phoneticPr fontId="7" type="noConversion"/>
  </si>
  <si>
    <t xml:space="preserve"> 프로젝트 휴무일 Calendar 설정</t>
    <phoneticPr fontId="7"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</si>
  <si>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7" type="noConversion"/>
  </si>
  <si>
    <t>표준캘린더</t>
    <phoneticPr fontId="7" type="noConversion"/>
  </si>
  <si>
    <t>사용자정의 캘린더1</t>
    <phoneticPr fontId="7" type="noConversion"/>
  </si>
  <si>
    <t>사용자정의 캘린더2</t>
    <phoneticPr fontId="7" type="noConversion"/>
  </si>
  <si>
    <t>휴무일명</t>
    <phoneticPr fontId="7" type="noConversion"/>
  </si>
  <si>
    <t>휴무일자</t>
    <phoneticPr fontId="7" type="noConversion"/>
  </si>
  <si>
    <t>더 이상 입력불가</t>
    <phoneticPr fontId="7" type="noConversion"/>
  </si>
  <si>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</si>
  <si>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</si>
  <si>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</si>
  <si>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</si>
  <si>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</si>
  <si>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</si>
  <si>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</si>
  <si>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</si>
  <si>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</si>
  <si>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</si>
  <si>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</si>
  <si>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</si>
  <si>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</si>
  <si>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</si>
  <si>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</si>
  <si>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</si>
  <si>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</si>
  <si>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</si>
  <si>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</si>
  <si>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</si>
  <si>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</si>
  <si>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</si>
  <si>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</si>
  <si>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</si>
  <si>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</si>
  <si>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</si>
  <si>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</si>
  <si>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</si>
  <si>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</si>
  <si>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</si>
  <si>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</si>
  <si>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도움말</t>
  </si>
  <si>
    <t>도움말</t>
    <phoneticPr fontId="2" type="noConversion"/>
  </si>
  <si>
    <t>Bar chart형태로 간트차트를 보여주고 있으며 여러 가지 표시방법을 옵션에서 설정할 수 있다.</t>
    <phoneticPr fontId="2" type="noConversion"/>
  </si>
  <si>
    <t>프로젝트의 현황을 파악할 수 있는 진행율, Workload 등의 분석 리포트와 분석용 Workload data를 제공한다.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</si>
  <si>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</si>
  <si>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</si>
  <si>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</si>
  <si>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</si>
  <si>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</si>
  <si>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</si>
  <si>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</si>
  <si>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Server Data 가져오기</t>
    <phoneticPr fontId="2" type="noConversion"/>
  </si>
  <si>
    <t>진척율을 이용하여 프로젝트 전체 진행상황을 파악할 수 있다.</t>
    <phoneticPr fontId="2" type="noConversion"/>
  </si>
  <si>
    <t>한주의 시작요일 지정, 휴무일 설정, 주차표시 기능을 제공한다.
리본메뉴 &gt; XLGantt – Project Scheduler &gt; 옵션 &gt; “Calendar” 탭에서 설정할 수 있다.</t>
    <phoneticPr fontId="2" type="noConversion"/>
  </si>
  <si>
    <t xml:space="preserve">        엑셀간트(XLGantt) - 엑셀 일정관리</t>
    <phoneticPr fontId="30" type="noConversion"/>
  </si>
  <si>
    <t xml:space="preserve">도움말, 최신 버전 다운로드 https://xlworks.net </t>
    <phoneticPr fontId="2" type="noConversion"/>
  </si>
  <si>
    <t>5</t>
  </si>
  <si>
    <t>6</t>
  </si>
  <si>
    <t>7</t>
  </si>
  <si>
    <t>8</t>
  </si>
  <si>
    <t>9</t>
  </si>
  <si>
    <t>10</t>
  </si>
  <si>
    <t>11</t>
  </si>
  <si>
    <t>12</t>
  </si>
  <si>
    <t>13</t>
  </si>
  <si>
    <t>14</t>
  </si>
  <si>
    <t>15</t>
  </si>
  <si>
    <t>16</t>
  </si>
  <si>
    <t>Project X</t>
  </si>
  <si>
    <t>범위정의</t>
  </si>
  <si>
    <t>범위확정</t>
  </si>
  <si>
    <t>Benchmarking</t>
  </si>
  <si>
    <t>Workshop</t>
  </si>
  <si>
    <t>데이터베이스 설계</t>
  </si>
  <si>
    <t>UI설계</t>
  </si>
  <si>
    <t>개발</t>
  </si>
  <si>
    <t>코딩</t>
  </si>
  <si>
    <t>단위테스트</t>
  </si>
  <si>
    <t>테스트</t>
  </si>
  <si>
    <t>통합테스트</t>
  </si>
  <si>
    <t>시스템테스트</t>
  </si>
  <si>
    <t>1.1.3</t>
  </si>
  <si>
    <t>1.1.4</t>
  </si>
  <si>
    <t>1.2.2</t>
  </si>
  <si>
    <t>1.3.2</t>
  </si>
  <si>
    <t>1.4</t>
  </si>
  <si>
    <t>1.4.1</t>
  </si>
  <si>
    <t>1.4.2</t>
  </si>
  <si>
    <t>1.4.3</t>
  </si>
  <si>
    <t>이지은,김분석</t>
    <phoneticPr fontId="2" type="noConversion"/>
  </si>
  <si>
    <t>이지은</t>
    <phoneticPr fontId="2" type="noConversion"/>
  </si>
  <si>
    <t>박설계</t>
    <phoneticPr fontId="2" type="noConversion"/>
  </si>
  <si>
    <t>나개발</t>
    <phoneticPr fontId="2" type="noConversion"/>
  </si>
  <si>
    <t>김분석,이지은</t>
    <phoneticPr fontId="2" type="noConversion"/>
  </si>
  <si>
    <t>홍길동</t>
    <phoneticPr fontId="2" type="noConversion"/>
  </si>
  <si>
    <t>나고객,이고객</t>
    <phoneticPr fontId="2" type="noConversion"/>
  </si>
  <si>
    <t>UAT</t>
    <phoneticPr fontId="2" type="noConversion"/>
  </si>
  <si>
    <t>범위확정시 주요화면 준비</t>
    <phoneticPr fontId="2" type="noConversion"/>
  </si>
  <si>
    <t>성능테스트Tool필요</t>
    <phoneticPr fontId="2" type="noConversion"/>
  </si>
  <si>
    <t>__확인사항</t>
    <phoneticPr fontId="2" type="noConversion"/>
  </si>
  <si>
    <t>3.0.0</t>
    <phoneticPr fontId="2" type="noConversion"/>
  </si>
  <si>
    <t xml:space="preserve">  XLGantt 3.0.0 ©XLWorks</t>
  </si>
  <si>
    <t>Total</t>
  </si>
  <si>
    <t>2020년 신정</t>
  </si>
  <si>
    <t>2020년 설연휴</t>
  </si>
  <si>
    <t>2019년 신정</t>
    <phoneticPr fontId="2" type="noConversion"/>
  </si>
  <si>
    <t>2019년 설연휴</t>
    <phoneticPr fontId="2" type="noConversion"/>
  </si>
  <si>
    <t>2019년 설날</t>
    <phoneticPr fontId="2" type="noConversion"/>
  </si>
  <si>
    <t>2019년 삼일절</t>
  </si>
  <si>
    <t>2019년 어린이날 대체휴일</t>
  </si>
  <si>
    <t>2019년 현충일</t>
  </si>
  <si>
    <t>2019년 광복절</t>
  </si>
  <si>
    <t>2019년 추석연휴</t>
  </si>
  <si>
    <t>2019년 추석</t>
    <phoneticPr fontId="2" type="noConversion"/>
  </si>
  <si>
    <t>2019년 개천절</t>
  </si>
  <si>
    <t>2019년 한글날</t>
  </si>
  <si>
    <t>2019년 성탄절</t>
  </si>
  <si>
    <t>2020년 설날 대체휴일</t>
    <phoneticPr fontId="2" type="noConversion"/>
  </si>
  <si>
    <t>21대 국회위원 선거일</t>
    <phoneticPr fontId="2" type="noConversion"/>
  </si>
  <si>
    <t>2020년 부처님오신날</t>
    <phoneticPr fontId="2" type="noConversion"/>
  </si>
  <si>
    <t>2020년 어린이날</t>
    <phoneticPr fontId="2" type="noConversion"/>
  </si>
  <si>
    <t xml:space="preserve">XLGantt 3.0.0 ⓒXLWorks </t>
    <phoneticPr fontId="7" type="noConversion"/>
  </si>
  <si>
    <t>2020년 추석연휴</t>
    <phoneticPr fontId="2" type="noConversion"/>
  </si>
  <si>
    <t>2020년 추석</t>
    <phoneticPr fontId="2" type="noConversion"/>
  </si>
  <si>
    <t>2020년 한글날</t>
    <phoneticPr fontId="2" type="noConversion"/>
  </si>
  <si>
    <t>2020년 성탄절</t>
    <phoneticPr fontId="2" type="noConversion"/>
  </si>
  <si>
    <t>실적기성</t>
    <phoneticPr fontId="7" type="noConversion"/>
  </si>
  <si>
    <t>Earned value on planned schedule(Total Duration x %Work Complete)</t>
    <phoneticPr fontId="2" type="noConversion"/>
  </si>
  <si>
    <t>실적기성(총기간 x 총실적진행율)</t>
    <phoneticPr fontId="2" type="noConversion"/>
  </si>
  <si>
    <t>실적기성(총기간 x 총실적진행율)</t>
    <phoneticPr fontId="7" type="noConversion"/>
  </si>
  <si>
    <t>실제 투입된 작업량</t>
    <phoneticPr fontId="2" type="noConversion"/>
  </si>
  <si>
    <t>실제 투입된 작업량</t>
    <phoneticPr fontId="7" type="noConversion"/>
  </si>
  <si>
    <t>이지은</t>
  </si>
  <si>
    <t>박설계</t>
  </si>
  <si>
    <t>프로젝트 진척율 - 일정변경 관리하지 않을때</t>
    <phoneticPr fontId="7" type="noConversion"/>
  </si>
  <si>
    <t>김분석</t>
  </si>
  <si>
    <t>나고객</t>
  </si>
  <si>
    <t>이고객</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</si>
  <si>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</si>
  <si>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</si>
  <si>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</si>
  <si>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</si>
  <si>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</si>
  <si>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</si>
  <si>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</si>
  <si>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</si>
  <si>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</si>
  <si>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프로젝트 진척율(주별)</t>
  </si>
  <si>
    <t>* 주별로 프로젝트 진적율을 보여줍니다.</t>
  </si>
  <si>
    <t>* "진척율(주별)" 메뉴를 클릭해야 갱신됨</t>
  </si>
  <si>
    <t>파워포인트</t>
    <phoneticPr fontId="7" type="noConversion"/>
  </si>
  <si>
    <t>자동지정</t>
    <phoneticPr fontId="7" type="noConversion"/>
  </si>
  <si>
    <t>워드</t>
    <phoneticPr fontId="7" type="noConversion"/>
  </si>
  <si>
    <t>엑셀</t>
    <phoneticPr fontId="7" type="noConversion"/>
  </si>
  <si>
    <t>G</t>
  </si>
  <si>
    <t>1;3;4;0;1</t>
    <phoneticPr fontId="2" type="noConversion"/>
  </si>
  <si>
    <t>프로젝트 관리</t>
  </si>
  <si>
    <t>프로젝트 착수 및 계획수립</t>
  </si>
  <si>
    <t>프로젝트 착수</t>
  </si>
  <si>
    <t>프로젝트 범위정의</t>
  </si>
  <si>
    <t>1.1.2.1</t>
  </si>
  <si>
    <t>프로젝트 계획 수립</t>
  </si>
  <si>
    <t>1.1.2.2</t>
  </si>
  <si>
    <t>착수보고(Kick off)</t>
  </si>
  <si>
    <t>프로젝트 수행 및 통제</t>
  </si>
  <si>
    <t>월간보고1</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</si>
  <si>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</si>
  <si>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</si>
  <si>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</si>
  <si>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</si>
  <si>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</si>
  <si>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</si>
  <si>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</si>
  <si>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</si>
  <si>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</si>
  <si>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</si>
  <si>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</si>
  <si>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</si>
  <si>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</si>
  <si>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2.1.1</t>
  </si>
  <si>
    <t>요구사항정의</t>
  </si>
  <si>
    <t>2.1.2</t>
  </si>
  <si>
    <t>논리모델구축</t>
  </si>
  <si>
    <t>2.1.2.1</t>
  </si>
  <si>
    <t>프로세스모델링</t>
  </si>
  <si>
    <t>2.1.2.2</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</si>
  <si>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</si>
  <si>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</si>
  <si>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</si>
  <si>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</si>
  <si>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</si>
  <si>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</si>
  <si>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</si>
  <si>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</si>
  <si>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</si>
  <si>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</si>
  <si>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</si>
  <si>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</si>
  <si>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</si>
  <si>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</si>
  <si>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</si>
  <si>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</si>
  <si>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</si>
  <si>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</si>
  <si>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</si>
  <si>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</si>
  <si>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</si>
  <si>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</si>
  <si>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</si>
  <si>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</si>
  <si>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</si>
  <si>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</si>
  <si>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</si>
  <si>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</si>
  <si>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</si>
  <si>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</si>
  <si>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</si>
  <si>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</si>
  <si>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</si>
  <si>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</si>
  <si>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</si>
  <si>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</si>
  <si>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</si>
  <si>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</si>
  <si>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</si>
  <si>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</si>
  <si>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</si>
  <si>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</si>
  <si>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</si>
  <si>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</si>
  <si>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</si>
  <si>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</si>
  <si>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</si>
  <si>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</si>
  <si>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</si>
  <si>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</si>
  <si>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</si>
  <si>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</si>
  <si>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</si>
  <si>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{"TASK_FIRST_COL":"5","START_ROW":"5","WBS_AREA_LAST_COL":"31"}</t>
    <phoneticPr fontId="7" type="noConversion"/>
  </si>
  <si>
    <t>SCHEDULE_SHEET_POSITION:3545151617181920212223242526272829303132</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</si>
  <si>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</si>
  <si>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</si>
  <si>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</si>
  <si>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</si>
  <si>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</si>
  <si>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</si>
  <si>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</si>
  <si>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</si>
  <si>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 xml:space="preserve">  주별보기, Zoom 100%, 계산 옵션 : 자동</t>
  </si>
  <si>
    <t>DEFINED</t>
    <phoneticPr fontId="7"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</si>
  <si>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</si>
  <si>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</si>
  <si>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</si>
  <si>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</si>
  <si>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</si>
  <si>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XLGantt Version 3.0.0 사용조건</t>
    <phoneticPr fontId="2" type="noConversion"/>
  </si>
  <si>
    <t>Workload data를 주별/월별로 만들어 준다. 피벗 등의 기능으로 사용자가 원하는대로 분석을 할 수 있다.</t>
    <phoneticPr fontId="2" type="noConversion"/>
  </si>
  <si>
    <t>김동환</t>
  </si>
  <si>
    <t>1조 전원</t>
  </si>
  <si>
    <t>김민석</t>
  </si>
  <si>
    <t>김도은</t>
  </si>
  <si>
    <t>어플리케이션설계</t>
  </si>
  <si>
    <t>오지우,김지영</t>
  </si>
  <si>
    <t>웹서버설계</t>
  </si>
  <si>
    <t>AI설계</t>
  </si>
  <si>
    <t>김동환,최민준</t>
  </si>
  <si>
    <t>2.2.2.4</t>
  </si>
  <si>
    <t>09/08
W37</t>
  </si>
  <si>
    <t>10/06
W41</t>
  </si>
  <si>
    <t>11/03
W45</t>
  </si>
  <si>
    <t>12/01
W49</t>
  </si>
  <si>
    <t>12/29
W53</t>
  </si>
  <si>
    <t>01/26
W5</t>
  </si>
  <si>
    <t>02/23
W9</t>
  </si>
  <si>
    <t>03/22
W13</t>
  </si>
  <si>
    <t>04/19
W17</t>
  </si>
  <si>
    <t>05/17
W21</t>
  </si>
  <si>
    <t>06/14
W25</t>
  </si>
  <si>
    <t>07/12
W29</t>
  </si>
  <si>
    <t>08/09
W33</t>
  </si>
  <si>
    <t>09/06
W37</t>
  </si>
  <si>
    <t>10/04
W41</t>
  </si>
  <si>
    <t>11/01
W45</t>
  </si>
  <si>
    <t>11/29
W49</t>
  </si>
  <si>
    <t>데이터학습</t>
  </si>
  <si>
    <t>2.1.2.3</t>
  </si>
  <si>
    <t>김도은,오지우</t>
  </si>
  <si>
    <t>김지영</t>
  </si>
  <si>
    <t>오지우</t>
  </si>
  <si>
    <t>최민준</t>
  </si>
  <si>
    <t>김민석,김지영</t>
  </si>
  <si>
    <t>테스트실시</t>
  </si>
  <si>
    <t>구현</t>
  </si>
  <si>
    <t>구현준비</t>
  </si>
  <si>
    <t>김도은, 김민석</t>
  </si>
  <si>
    <t>김도은,김동환</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</si>
</sst>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61">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11"/>
      <name val="CA"/>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12"/>
      <name val="맑은 고딕"/>
      <family val="3"/>
      <charset val="129"/>
      <scheme val="minor"/>
    </font>
    <font>
      <sz val="8"/>
      <name val="Arial"/>
      <family val="2"/>
    </font>
    <font>
      <sz val="10"/>
      <name val="맑은 고딕"/>
      <family val="3"/>
      <charset val="129"/>
      <scheme val="minor"/>
    </font>
    <font>
      <b/>
      <sz val="11"/>
      <color theme="1"/>
      <name val="맑은 고딕"/>
      <family val="3"/>
      <charset val="129"/>
      <scheme val="minor"/>
    </font>
    <font>
      <sz val="11"/>
      <name val="맑은 고딕"/>
      <family val="3"/>
      <charset val="129"/>
      <scheme val="minor"/>
    </font>
    <font>
      <b/>
      <u/>
      <sz val="11"/>
      <color theme="0"/>
      <name val="맑은 고딕"/>
      <family val="3"/>
      <charset val="129"/>
      <scheme val="minor"/>
    </font>
    <font>
      <b/>
      <sz val="12"/>
      <color theme="1"/>
      <name val="맑은 고딕"/>
      <family val="3"/>
      <charset val="129"/>
      <scheme val="minor"/>
    </font>
    <font>
      <b/>
      <sz val="11"/>
      <color theme="0"/>
      <name val="맑은 고딕"/>
      <family val="3"/>
      <charset val="129"/>
      <scheme val="minor"/>
    </font>
    <font>
      <b/>
      <u/>
      <sz val="11"/>
      <color theme="10"/>
      <name val="맑은 고딕"/>
      <family val="3"/>
      <charset val="129"/>
      <scheme val="minor"/>
    </font>
    <font>
      <b/>
      <u/>
      <sz val="12"/>
      <color rgb="FFFF8800"/>
      <name val="맑은 고딕"/>
      <family val="3"/>
      <charset val="129"/>
      <scheme val="minor"/>
    </font>
    <font>
      <sz val="8"/>
      <name val="Calibri"/>
      <family val="2"/>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sz val="8"/>
      <color theme="0"/>
      <name val="Calibri"/>
      <family val="2"/>
    </font>
    <font>
      <sz val="8"/>
      <color rgb="FFFF8800"/>
      <name val="Calibri"/>
      <family val="2"/>
    </font>
    <font>
      <sz val="9"/>
      <color theme="0"/>
      <name val="맑은 고딕"/>
      <family val="3"/>
      <charset val="129"/>
    </font>
    <font>
      <u/>
      <sz val="11"/>
      <color theme="10"/>
      <name val="맑은 고딕"/>
      <family val="3"/>
      <charset val="129"/>
      <scheme val="minor"/>
    </font>
    <font>
      <b/>
      <sz val="11"/>
      <name val="맑은 고딕"/>
      <family val="3"/>
      <charset val="129"/>
      <scheme val="minor"/>
    </font>
    <font>
      <sz val="11"/>
      <color rgb="FF333333"/>
      <name val="맑은 고딕"/>
      <family val="3"/>
      <charset val="129"/>
      <scheme val="minor"/>
    </font>
    <font>
      <b/>
      <sz val="18"/>
      <color theme="1"/>
      <name val="맑은 고딕"/>
      <family val="3"/>
      <charset val="129"/>
      <scheme val="minor"/>
    </font>
    <font>
      <b/>
      <sz val="14"/>
      <color theme="1"/>
      <name val="맑은 고딕"/>
      <family val="3"/>
      <charset val="129"/>
      <scheme val="minor"/>
    </font>
    <font>
      <sz val="11"/>
      <color theme="1"/>
      <name val="맑은 고딕"/>
      <family val="2"/>
      <scheme val="minor"/>
    </font>
    <font>
      <b/>
      <sz val="14"/>
      <color rgb="FFFF8800"/>
      <name val="Calibri"/>
      <family val="2"/>
    </font>
    <font>
      <b/>
      <sz val="9"/>
      <color rgb="FFFF8800"/>
      <name val="Calibri"/>
      <family val="2"/>
    </font>
    <font>
      <sz val="12"/>
      <color rgb="FF222222"/>
      <name val="맑은 고딕"/>
      <family val="3"/>
      <charset val="129"/>
      <scheme val="minor"/>
    </font>
    <font>
      <sz val="10"/>
      <name val="Calibri"/>
      <family val="3"/>
      <charset val="129"/>
    </font>
    <font>
      <sz val="9"/>
      <name val="맑은 고딕"/>
      <family val="3"/>
      <charset val="129"/>
    </font>
    <font>
      <sz val="9"/>
      <name val="돋움"/>
      <family val="2"/>
      <charset val="129"/>
    </font>
    <font>
      <sz val="9"/>
      <name val="돋움"/>
      <family val="3"/>
      <charset val="129"/>
    </font>
    <font>
      <sz val="9"/>
      <name val="Calibri"/>
      <family val="3"/>
      <charset val="129"/>
    </font>
  </fonts>
  <fills count="18">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s>
  <borders count="3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right>
      <top/>
      <bottom/>
      <diagonal/>
    </border>
    <border>
      <left style="thin">
        <color theme="0" tint="-4.9989318521683403E-2"/>
      </left>
      <right style="thin">
        <color theme="0" tint="-4.9989318521683403E-2"/>
      </right>
      <top/>
      <bottom/>
      <diagonal/>
    </border>
    <border>
      <left/>
      <right/>
      <top/>
      <bottom style="thin">
        <color theme="0" tint="-0.34998626667073579"/>
      </bottom>
      <diagonal/>
    </border>
    <border>
      <left/>
      <right/>
      <top style="thin">
        <color theme="0" tint="-0.14993743705557422"/>
      </top>
      <bottom style="thin">
        <color theme="0" tint="-0.149937437055574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8" fillId="0" borderId="0" applyFont="0" applyFill="0" applyBorder="0" applyAlignment="0" applyProtection="0">
      <alignment vertical="center"/>
    </xf>
    <xf numFmtId="0" fontId="8" fillId="0" borderId="0"/>
    <xf numFmtId="0" fontId="21" fillId="0" borderId="0"/>
    <xf numFmtId="9" fontId="52" fillId="0" borderId="0" applyFont="0" applyFill="0" applyBorder="0" applyAlignment="0" applyProtection="0">
      <alignment vertical="center"/>
    </xf>
  </cellStyleXfs>
  <cellXfs count="310">
    <xf numFmtId="0" fontId="0" fillId="0" borderId="0" xfId="0"/>
    <xf numFmtId="0" fontId="11" fillId="0" borderId="5" xfId="4" applyFont="1" applyFill="1" applyBorder="1" applyAlignment="1" applyProtection="1">
      <alignment horizontal="right" vertical="top"/>
      <protection locked="0"/>
    </xf>
    <xf numFmtId="0" fontId="11" fillId="0" borderId="5" xfId="4" applyFont="1" applyFill="1" applyBorder="1" applyAlignment="1" applyProtection="1">
      <alignment horizontal="left" vertical="top"/>
      <protection locked="0"/>
    </xf>
    <xf numFmtId="14" fontId="11" fillId="0" borderId="5" xfId="4" applyNumberFormat="1" applyFont="1" applyFill="1" applyBorder="1" applyAlignment="1" applyProtection="1">
      <alignment horizontal="center" vertical="top"/>
      <protection locked="0"/>
    </xf>
    <xf numFmtId="0" fontId="11" fillId="0" borderId="5" xfId="4" applyNumberFormat="1" applyFont="1" applyFill="1" applyBorder="1" applyAlignment="1" applyProtection="1">
      <alignment horizontal="left" vertical="top"/>
      <protection locked="0"/>
    </xf>
    <xf numFmtId="176" fontId="11" fillId="0" borderId="5" xfId="4" applyNumberFormat="1" applyFont="1" applyFill="1" applyBorder="1" applyAlignment="1" applyProtection="1">
      <alignment horizontal="center" vertical="top"/>
      <protection locked="0"/>
    </xf>
    <xf numFmtId="0" fontId="11" fillId="0" borderId="5" xfId="4" applyNumberFormat="1" applyFont="1" applyFill="1" applyBorder="1" applyAlignment="1" applyProtection="1">
      <alignment horizontal="center" vertical="top"/>
      <protection locked="0"/>
    </xf>
    <xf numFmtId="177" fontId="11" fillId="0" borderId="5" xfId="4" applyNumberFormat="1" applyFont="1" applyFill="1" applyBorder="1" applyAlignment="1" applyProtection="1">
      <alignment horizontal="center" vertical="top"/>
      <protection locked="0"/>
    </xf>
    <xf numFmtId="1" fontId="11" fillId="0" borderId="5" xfId="4" applyNumberFormat="1" applyFont="1" applyFill="1" applyBorder="1" applyAlignment="1" applyProtection="1">
      <alignment horizontal="center" vertical="top"/>
      <protection locked="0"/>
    </xf>
    <xf numFmtId="178" fontId="11" fillId="0" borderId="5" xfId="4" applyNumberFormat="1" applyFont="1" applyFill="1" applyBorder="1" applyAlignment="1" applyProtection="1">
      <alignment horizontal="center" vertical="top"/>
      <protection locked="0"/>
    </xf>
    <xf numFmtId="14" fontId="11" fillId="0" borderId="5" xfId="4" applyNumberFormat="1" applyFont="1" applyFill="1" applyBorder="1" applyAlignment="1" applyProtection="1">
      <alignment horizontal="left" vertical="top"/>
      <protection locked="0"/>
    </xf>
    <xf numFmtId="10" fontId="11" fillId="0" borderId="5" xfId="3" applyNumberFormat="1" applyFont="1" applyFill="1" applyBorder="1" applyAlignment="1" applyProtection="1">
      <alignment horizontal="right" vertical="top" wrapText="1"/>
      <protection locked="0"/>
    </xf>
    <xf numFmtId="10" fontId="11" fillId="0" borderId="5" xfId="3" applyNumberFormat="1" applyFont="1" applyFill="1" applyBorder="1" applyAlignment="1" applyProtection="1">
      <alignment horizontal="right" vertical="top"/>
      <protection locked="0"/>
    </xf>
    <xf numFmtId="0" fontId="12" fillId="0" borderId="0" xfId="1" applyFont="1" applyFill="1" applyBorder="1" applyAlignment="1">
      <alignment vertical="center"/>
    </xf>
    <xf numFmtId="0" fontId="9" fillId="0" borderId="0" xfId="1" applyFont="1" applyFill="1" applyBorder="1" applyAlignment="1">
      <alignment vertical="center"/>
    </xf>
    <xf numFmtId="14" fontId="13" fillId="0" borderId="0" xfId="4" applyNumberFormat="1" applyFont="1" applyFill="1" applyBorder="1" applyAlignment="1" applyProtection="1">
      <alignment vertical="center"/>
    </xf>
    <xf numFmtId="14" fontId="14" fillId="0" borderId="0" xfId="4" applyNumberFormat="1" applyFont="1" applyFill="1" applyBorder="1" applyAlignment="1" applyProtection="1">
      <alignment vertical="center"/>
    </xf>
    <xf numFmtId="14" fontId="15" fillId="3" borderId="0" xfId="4" quotePrefix="1" applyNumberFormat="1" applyFont="1" applyFill="1" applyBorder="1" applyProtection="1"/>
    <xf numFmtId="14" fontId="15" fillId="3" borderId="0" xfId="4" applyNumberFormat="1" applyFont="1" applyFill="1" applyBorder="1" applyAlignment="1" applyProtection="1">
      <alignment vertical="center"/>
    </xf>
    <xf numFmtId="0" fontId="15" fillId="3" borderId="0" xfId="4" applyFont="1" applyFill="1" applyBorder="1" applyProtection="1"/>
    <xf numFmtId="176" fontId="17" fillId="3" borderId="0" xfId="4" applyNumberFormat="1" applyFont="1" applyFill="1" applyBorder="1" applyAlignment="1" applyProtection="1">
      <alignment vertical="center"/>
      <protection locked="0"/>
    </xf>
    <xf numFmtId="14" fontId="16" fillId="3" borderId="0" xfId="4" applyNumberFormat="1" applyFont="1" applyFill="1" applyBorder="1" applyAlignment="1" applyProtection="1">
      <alignment vertical="center"/>
    </xf>
    <xf numFmtId="14" fontId="15" fillId="0" borderId="6" xfId="4" applyNumberFormat="1" applyFont="1" applyFill="1" applyBorder="1" applyAlignment="1" applyProtection="1">
      <alignment vertical="top"/>
      <protection locked="0"/>
    </xf>
    <xf numFmtId="14" fontId="15" fillId="0" borderId="6" xfId="4" applyNumberFormat="1" applyFont="1" applyFill="1" applyBorder="1" applyAlignment="1" applyProtection="1">
      <alignment vertical="center"/>
      <protection locked="0"/>
    </xf>
    <xf numFmtId="0" fontId="15" fillId="0" borderId="6" xfId="4" applyFont="1" applyFill="1" applyBorder="1" applyAlignment="1" applyProtection="1">
      <alignment vertical="top"/>
      <protection locked="0"/>
    </xf>
    <xf numFmtId="0" fontId="15" fillId="0" borderId="6" xfId="4" applyFont="1" applyFill="1" applyBorder="1" applyAlignment="1" applyProtection="1">
      <alignment vertical="center" wrapText="1"/>
      <protection locked="0"/>
    </xf>
    <xf numFmtId="0" fontId="15" fillId="0" borderId="6" xfId="4" applyFont="1" applyFill="1" applyBorder="1" applyAlignment="1" applyProtection="1">
      <alignment vertical="center"/>
      <protection locked="0"/>
    </xf>
    <xf numFmtId="0" fontId="15" fillId="0" borderId="0" xfId="4" applyFont="1" applyFill="1" applyBorder="1" applyAlignment="1" applyProtection="1">
      <alignment vertical="top"/>
      <protection locked="0"/>
    </xf>
    <xf numFmtId="14" fontId="18" fillId="0" borderId="0" xfId="4" applyNumberFormat="1" applyFont="1" applyFill="1" applyBorder="1" applyAlignment="1" applyProtection="1">
      <alignment horizontal="right" vertical="top"/>
      <protection locked="0"/>
    </xf>
    <xf numFmtId="179" fontId="15" fillId="6" borderId="7" xfId="4" applyNumberFormat="1" applyFont="1" applyFill="1" applyBorder="1" applyAlignment="1" applyProtection="1">
      <alignment vertical="center"/>
      <protection locked="0"/>
    </xf>
    <xf numFmtId="14" fontId="18" fillId="0" borderId="8" xfId="4" applyNumberFormat="1" applyFont="1" applyFill="1" applyBorder="1" applyAlignment="1" applyProtection="1">
      <alignment horizontal="right" vertical="top"/>
      <protection locked="0"/>
    </xf>
    <xf numFmtId="14" fontId="15" fillId="0" borderId="8" xfId="4" applyNumberFormat="1" applyFont="1" applyFill="1" applyBorder="1" applyAlignment="1" applyProtection="1">
      <alignment vertical="center"/>
      <protection locked="0"/>
    </xf>
    <xf numFmtId="0" fontId="15" fillId="0" borderId="8" xfId="4" applyFont="1" applyFill="1" applyBorder="1" applyAlignment="1" applyProtection="1">
      <alignment vertical="top"/>
      <protection locked="0"/>
    </xf>
    <xf numFmtId="0" fontId="15" fillId="0" borderId="8" xfId="4" applyFont="1" applyFill="1" applyBorder="1" applyAlignment="1" applyProtection="1">
      <alignment vertical="center"/>
      <protection locked="0"/>
    </xf>
    <xf numFmtId="14" fontId="18" fillId="0" borderId="0" xfId="4" applyNumberFormat="1" applyFont="1" applyFill="1" applyBorder="1" applyAlignment="1" applyProtection="1">
      <alignment vertical="top"/>
      <protection locked="0"/>
    </xf>
    <xf numFmtId="14" fontId="15" fillId="0" borderId="0" xfId="4" applyNumberFormat="1" applyFont="1" applyFill="1" applyBorder="1" applyAlignment="1" applyProtection="1">
      <alignment vertical="center"/>
      <protection locked="0"/>
    </xf>
    <xf numFmtId="0" fontId="15" fillId="0" borderId="9" xfId="4" applyFont="1" applyFill="1" applyBorder="1" applyAlignment="1" applyProtection="1">
      <alignment vertical="center" wrapText="1"/>
      <protection locked="0"/>
    </xf>
    <xf numFmtId="14" fontId="15" fillId="0" borderId="0" xfId="4" applyNumberFormat="1" applyFont="1" applyFill="1" applyBorder="1" applyAlignment="1" applyProtection="1">
      <alignment vertical="top"/>
      <protection locked="0"/>
    </xf>
    <xf numFmtId="14" fontId="18" fillId="0" borderId="8" xfId="4" applyNumberFormat="1" applyFont="1" applyFill="1" applyBorder="1" applyAlignment="1" applyProtection="1">
      <alignment vertical="top"/>
      <protection locked="0"/>
    </xf>
    <xf numFmtId="0" fontId="15" fillId="0" borderId="8" xfId="4" applyFont="1" applyFill="1" applyBorder="1" applyAlignment="1" applyProtection="1">
      <alignment vertical="center" wrapText="1"/>
      <protection locked="0"/>
    </xf>
    <xf numFmtId="14" fontId="18" fillId="0" borderId="9" xfId="4" applyNumberFormat="1" applyFont="1" applyFill="1" applyBorder="1" applyAlignment="1" applyProtection="1">
      <alignment vertical="center" wrapText="1"/>
      <protection locked="0"/>
    </xf>
    <xf numFmtId="14" fontId="18" fillId="0" borderId="0" xfId="4" applyNumberFormat="1" applyFont="1" applyFill="1" applyBorder="1" applyAlignment="1" applyProtection="1">
      <alignment horizontal="right" vertical="center" wrapText="1"/>
      <protection locked="0"/>
    </xf>
    <xf numFmtId="14" fontId="18" fillId="0" borderId="8" xfId="4" applyNumberFormat="1" applyFont="1" applyFill="1" applyBorder="1" applyAlignment="1" applyProtection="1">
      <alignment vertical="center" wrapText="1"/>
      <protection locked="0"/>
    </xf>
    <xf numFmtId="0" fontId="15" fillId="0" borderId="8" xfId="4" applyFont="1" applyFill="1" applyBorder="1" applyProtection="1">
      <protection locked="0"/>
    </xf>
    <xf numFmtId="0" fontId="15" fillId="0" borderId="0" xfId="4" applyFont="1" applyFill="1" applyBorder="1" applyProtection="1">
      <protection locked="0"/>
    </xf>
    <xf numFmtId="14" fontId="15" fillId="0" borderId="0" xfId="4" applyNumberFormat="1" applyFont="1" applyFill="1" applyBorder="1" applyProtection="1">
      <protection locked="0"/>
    </xf>
    <xf numFmtId="14" fontId="15" fillId="0" borderId="9" xfId="4" applyNumberFormat="1" applyFont="1" applyFill="1" applyBorder="1" applyAlignment="1" applyProtection="1">
      <alignment vertical="center"/>
      <protection locked="0"/>
    </xf>
    <xf numFmtId="0" fontId="15" fillId="0" borderId="9" xfId="4" applyFont="1" applyFill="1" applyBorder="1" applyProtection="1">
      <protection locked="0"/>
    </xf>
    <xf numFmtId="14" fontId="15" fillId="0" borderId="10" xfId="4" applyNumberFormat="1" applyFont="1" applyFill="1" applyBorder="1" applyAlignment="1" applyProtection="1">
      <alignment vertical="center"/>
      <protection locked="0"/>
    </xf>
    <xf numFmtId="0" fontId="15" fillId="0" borderId="10" xfId="4" applyFont="1" applyFill="1" applyBorder="1" applyAlignment="1" applyProtection="1">
      <alignment vertical="top"/>
      <protection locked="0"/>
    </xf>
    <xf numFmtId="14" fontId="18" fillId="0" borderId="9" xfId="4" applyNumberFormat="1" applyFont="1" applyFill="1" applyBorder="1" applyProtection="1">
      <protection locked="0"/>
    </xf>
    <xf numFmtId="10" fontId="15" fillId="6" borderId="7" xfId="3" applyNumberFormat="1" applyFont="1" applyFill="1" applyBorder="1" applyAlignment="1" applyProtection="1">
      <alignment vertical="center"/>
      <protection locked="0"/>
    </xf>
    <xf numFmtId="14" fontId="18" fillId="0" borderId="10" xfId="4" applyNumberFormat="1" applyFont="1" applyFill="1" applyBorder="1" applyAlignment="1" applyProtection="1">
      <alignment horizontal="right" vertical="top"/>
      <protection locked="0"/>
    </xf>
    <xf numFmtId="14" fontId="18" fillId="0" borderId="6" xfId="4" applyNumberFormat="1" applyFont="1" applyFill="1" applyBorder="1" applyAlignment="1" applyProtection="1">
      <alignment horizontal="right" vertical="top"/>
      <protection locked="0"/>
    </xf>
    <xf numFmtId="14" fontId="18" fillId="0" borderId="11" xfId="4" applyNumberFormat="1" applyFont="1" applyFill="1" applyBorder="1" applyAlignment="1" applyProtection="1">
      <alignment horizontal="right" vertical="top"/>
      <protection locked="0"/>
    </xf>
    <xf numFmtId="14" fontId="15" fillId="0" borderId="11" xfId="4" applyNumberFormat="1" applyFont="1" applyFill="1" applyBorder="1" applyAlignment="1" applyProtection="1">
      <alignment vertical="center"/>
      <protection locked="0"/>
    </xf>
    <xf numFmtId="0" fontId="15" fillId="0" borderId="11" xfId="4" applyFont="1" applyFill="1" applyBorder="1" applyAlignment="1" applyProtection="1">
      <alignment vertical="top"/>
      <protection locked="0"/>
    </xf>
    <xf numFmtId="14" fontId="18" fillId="0" borderId="12" xfId="4" applyNumberFormat="1" applyFont="1" applyFill="1" applyBorder="1" applyAlignment="1" applyProtection="1">
      <alignment vertical="top"/>
      <protection locked="0"/>
    </xf>
    <xf numFmtId="14" fontId="15" fillId="0" borderId="12" xfId="4" applyNumberFormat="1" applyFont="1" applyFill="1" applyBorder="1" applyAlignment="1" applyProtection="1">
      <alignment vertical="center"/>
      <protection locked="0"/>
    </xf>
    <xf numFmtId="0" fontId="15" fillId="0" borderId="12" xfId="4" applyFont="1" applyFill="1" applyBorder="1" applyAlignment="1" applyProtection="1">
      <alignment vertical="top"/>
      <protection locked="0"/>
    </xf>
    <xf numFmtId="0" fontId="15" fillId="0" borderId="9" xfId="4" applyFont="1" applyFill="1" applyBorder="1" applyAlignment="1" applyProtection="1">
      <alignment vertical="center"/>
      <protection locked="0"/>
    </xf>
    <xf numFmtId="10" fontId="15" fillId="6" borderId="7" xfId="3" applyNumberFormat="1" applyFont="1" applyFill="1" applyBorder="1" applyAlignment="1" applyProtection="1">
      <alignment vertical="center"/>
    </xf>
    <xf numFmtId="14" fontId="15" fillId="0" borderId="13" xfId="4" applyNumberFormat="1" applyFont="1" applyFill="1" applyBorder="1" applyAlignment="1" applyProtection="1">
      <alignment horizontal="right" vertical="top"/>
      <protection locked="0"/>
    </xf>
    <xf numFmtId="14" fontId="15" fillId="0" borderId="13" xfId="4" applyNumberFormat="1" applyFont="1" applyFill="1" applyBorder="1" applyAlignment="1" applyProtection="1">
      <alignment vertical="center"/>
      <protection locked="0"/>
    </xf>
    <xf numFmtId="0" fontId="15" fillId="0" borderId="13" xfId="4" applyFont="1" applyFill="1" applyBorder="1" applyAlignment="1" applyProtection="1">
      <alignment vertical="top"/>
      <protection locked="0"/>
    </xf>
    <xf numFmtId="0" fontId="15" fillId="0" borderId="13" xfId="4" applyFont="1" applyFill="1" applyBorder="1" applyAlignment="1" applyProtection="1">
      <alignment vertical="center"/>
      <protection locked="0"/>
    </xf>
    <xf numFmtId="14" fontId="14"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4" fillId="0" borderId="0" xfId="4" applyNumberFormat="1" applyFont="1" applyFill="1" applyBorder="1" applyProtection="1">
      <protection locked="0"/>
    </xf>
    <xf numFmtId="179" fontId="14" fillId="0" borderId="0" xfId="3" applyNumberFormat="1" applyFont="1" applyFill="1" applyBorder="1" applyAlignment="1" applyProtection="1">
      <alignment vertical="center"/>
      <protection locked="0"/>
    </xf>
    <xf numFmtId="0" fontId="14" fillId="0" borderId="0" xfId="4" applyFont="1" applyFill="1" applyBorder="1" applyProtection="1">
      <protection locked="0"/>
    </xf>
    <xf numFmtId="1" fontId="14" fillId="0" borderId="0" xfId="4" applyNumberFormat="1" applyFont="1" applyFill="1" applyBorder="1" applyAlignment="1" applyProtection="1">
      <alignment vertical="center"/>
      <protection locked="0"/>
    </xf>
    <xf numFmtId="176" fontId="14" fillId="0" borderId="0" xfId="4" applyNumberFormat="1" applyFont="1" applyFill="1" applyBorder="1" applyAlignment="1" applyProtection="1">
      <alignment vertical="center"/>
      <protection locked="0"/>
    </xf>
    <xf numFmtId="0" fontId="12" fillId="0" borderId="0" xfId="4" applyFont="1" applyFill="1" applyBorder="1" applyAlignment="1">
      <alignment vertical="center"/>
    </xf>
    <xf numFmtId="0" fontId="14" fillId="7" borderId="1" xfId="4" applyFont="1" applyFill="1" applyBorder="1" applyAlignment="1">
      <alignment horizontal="left" wrapText="1"/>
    </xf>
    <xf numFmtId="14" fontId="14" fillId="0" borderId="0" xfId="4" applyNumberFormat="1" applyFont="1" applyFill="1" applyProtection="1"/>
    <xf numFmtId="14" fontId="14" fillId="3" borderId="0" xfId="4" applyNumberFormat="1" applyFont="1" applyFill="1" applyAlignment="1" applyProtection="1">
      <alignment vertical="top"/>
    </xf>
    <xf numFmtId="14" fontId="20" fillId="4" borderId="14" xfId="4" applyNumberFormat="1" applyFont="1" applyFill="1" applyBorder="1" applyAlignment="1" applyProtection="1">
      <alignment horizontal="center" vertical="center"/>
    </xf>
    <xf numFmtId="14" fontId="14" fillId="0" borderId="0" xfId="4" applyNumberFormat="1" applyFont="1" applyAlignment="1" applyProtection="1">
      <alignment horizontal="center" vertical="center"/>
    </xf>
    <xf numFmtId="14" fontId="14" fillId="0" borderId="0" xfId="4" applyNumberFormat="1" applyFont="1" applyProtection="1"/>
    <xf numFmtId="0"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0" fontId="15" fillId="9" borderId="15" xfId="4" applyFont="1" applyFill="1" applyBorder="1" applyAlignment="1">
      <alignment horizontal="left" vertical="top"/>
    </xf>
    <xf numFmtId="0" fontId="15" fillId="0" borderId="0" xfId="4" applyFont="1" applyFill="1" applyAlignment="1">
      <alignment horizontal="left" vertical="top"/>
    </xf>
    <xf numFmtId="0" fontId="15" fillId="0" borderId="0" xfId="4" applyFont="1" applyFill="1" applyBorder="1" applyAlignment="1">
      <alignment vertical="top"/>
    </xf>
    <xf numFmtId="0" fontId="15" fillId="0" borderId="0" xfId="4" applyFont="1" applyFill="1" applyBorder="1" applyAlignment="1">
      <alignment horizontal="left" vertical="top"/>
    </xf>
    <xf numFmtId="0" fontId="15" fillId="0" borderId="0" xfId="4" applyFont="1" applyFill="1" applyAlignment="1">
      <alignment vertical="top"/>
    </xf>
    <xf numFmtId="0" fontId="15" fillId="0" borderId="0" xfId="4" quotePrefix="1" applyFont="1" applyFill="1" applyBorder="1" applyAlignment="1">
      <alignment horizontal="left" vertical="top"/>
    </xf>
    <xf numFmtId="14" fontId="15" fillId="0" borderId="0" xfId="4" applyNumberFormat="1" applyFont="1" applyFill="1" applyBorder="1" applyAlignment="1">
      <alignment horizontal="left" vertical="top"/>
    </xf>
    <xf numFmtId="0" fontId="15" fillId="0" borderId="15" xfId="4" applyFont="1" applyFill="1" applyBorder="1" applyAlignment="1">
      <alignment vertical="top"/>
    </xf>
    <xf numFmtId="0" fontId="15" fillId="0" borderId="15" xfId="4" applyFont="1" applyFill="1" applyBorder="1" applyAlignment="1">
      <alignment horizontal="left" vertical="top"/>
    </xf>
    <xf numFmtId="14" fontId="15" fillId="0" borderId="0" xfId="4" applyNumberFormat="1" applyFont="1" applyFill="1" applyAlignment="1">
      <alignment horizontal="left" vertical="top"/>
    </xf>
    <xf numFmtId="1" fontId="15" fillId="0" borderId="0" xfId="4" applyNumberFormat="1" applyFont="1" applyFill="1" applyAlignment="1">
      <alignment horizontal="left" vertical="top"/>
    </xf>
    <xf numFmtId="22" fontId="15" fillId="0" borderId="0" xfId="4" applyNumberFormat="1" applyFont="1" applyFill="1" applyAlignment="1">
      <alignment horizontal="left" vertical="top"/>
    </xf>
    <xf numFmtId="14" fontId="15" fillId="0" borderId="0" xfId="4" applyNumberFormat="1" applyFont="1" applyFill="1" applyAlignment="1">
      <alignment vertical="top"/>
    </xf>
    <xf numFmtId="0" fontId="22" fillId="0" borderId="0" xfId="0" applyFont="1" applyAlignment="1"/>
    <xf numFmtId="0" fontId="11" fillId="0" borderId="4" xfId="4" applyFont="1" applyFill="1" applyBorder="1" applyAlignment="1" applyProtection="1">
      <alignment horizontal="left" vertical="center"/>
      <protection locked="0"/>
    </xf>
    <xf numFmtId="0" fontId="11" fillId="0" borderId="5" xfId="4" applyFont="1" applyFill="1" applyBorder="1" applyAlignment="1" applyProtection="1">
      <alignment vertical="top"/>
      <protection locked="0"/>
    </xf>
    <xf numFmtId="0" fontId="12"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28" fillId="11" borderId="0" xfId="1" applyNumberFormat="1" applyFont="1" applyFill="1" applyBorder="1" applyAlignment="1">
      <alignment horizontal="left" vertical="top" wrapText="1"/>
    </xf>
    <xf numFmtId="0" fontId="17" fillId="11" borderId="0" xfId="1" applyFont="1" applyFill="1" applyBorder="1" applyAlignment="1">
      <alignment horizontal="center" vertical="top"/>
    </xf>
    <xf numFmtId="0" fontId="12"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2"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7" fillId="11" borderId="0" xfId="2" applyFont="1" applyFill="1" applyBorder="1" applyAlignment="1">
      <alignment vertical="top" wrapText="1"/>
    </xf>
    <xf numFmtId="0" fontId="17" fillId="11" borderId="0" xfId="2" applyNumberFormat="1" applyFont="1" applyFill="1" applyBorder="1" applyAlignment="1">
      <alignment vertical="top"/>
    </xf>
    <xf numFmtId="0" fontId="17"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24" fillId="11" borderId="0" xfId="1" applyFont="1" applyFill="1" applyBorder="1" applyAlignment="1">
      <alignment horizontal="left" vertical="top"/>
    </xf>
    <xf numFmtId="0" fontId="25" fillId="11" borderId="0" xfId="1" applyFont="1" applyFill="1" applyBorder="1" applyAlignment="1">
      <alignment horizontal="left" vertical="top"/>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9" fillId="0" borderId="0" xfId="0" applyFont="1"/>
    <xf numFmtId="0" fontId="31" fillId="0" borderId="0" xfId="0" applyFont="1" applyProtection="1">
      <protection locked="0"/>
    </xf>
    <xf numFmtId="0" fontId="32" fillId="0" borderId="0" xfId="0" applyFont="1" applyProtection="1">
      <protection locked="0"/>
    </xf>
    <xf numFmtId="0" fontId="31" fillId="0" borderId="0" xfId="0" applyFont="1" applyAlignment="1" applyProtection="1">
      <alignment vertical="center"/>
      <protection locked="0"/>
    </xf>
    <xf numFmtId="0" fontId="29" fillId="0" borderId="0" xfId="0" applyFont="1" applyAlignment="1">
      <alignment vertical="center"/>
    </xf>
    <xf numFmtId="0" fontId="33" fillId="0" borderId="0" xfId="0" applyFont="1" applyAlignment="1">
      <alignment vertical="center"/>
    </xf>
    <xf numFmtId="0" fontId="34" fillId="12" borderId="17" xfId="2" applyFont="1" applyFill="1" applyBorder="1" applyAlignment="1" applyProtection="1">
      <alignment horizontal="center" vertical="center" wrapText="1"/>
      <protection locked="0"/>
    </xf>
    <xf numFmtId="0" fontId="36" fillId="12" borderId="17" xfId="2" applyFont="1" applyFill="1" applyBorder="1" applyAlignment="1" applyProtection="1">
      <alignment horizontal="center" vertical="center" wrapText="1"/>
      <protection locked="0"/>
    </xf>
    <xf numFmtId="0" fontId="37" fillId="0" borderId="18" xfId="2" applyFont="1" applyFill="1" applyBorder="1" applyAlignment="1" applyProtection="1">
      <alignment horizontal="center" vertical="center" wrapText="1"/>
      <protection locked="0"/>
    </xf>
    <xf numFmtId="0" fontId="34" fillId="13" borderId="17" xfId="2" applyFont="1" applyFill="1" applyBorder="1" applyAlignment="1" applyProtection="1">
      <alignment horizontal="center" vertical="center" wrapText="1"/>
      <protection locked="0"/>
    </xf>
    <xf numFmtId="0" fontId="34" fillId="14" borderId="17" xfId="2" applyFont="1" applyFill="1" applyBorder="1" applyAlignment="1" applyProtection="1">
      <alignment horizontal="center" vertical="center" wrapText="1"/>
      <protection locked="0"/>
    </xf>
    <xf numFmtId="14" fontId="0" fillId="0" borderId="0" xfId="0" applyNumberFormat="1"/>
    <xf numFmtId="0" fontId="39" fillId="0" borderId="0" xfId="4" applyFont="1" applyFill="1" applyBorder="1" applyAlignment="1" applyProtection="1">
      <alignment horizontal="left" vertical="center"/>
    </xf>
    <xf numFmtId="0" fontId="29" fillId="0" borderId="0" xfId="0" applyFont="1" applyAlignment="1">
      <alignment horizontal="center"/>
    </xf>
    <xf numFmtId="0" fontId="31" fillId="0" borderId="0" xfId="0" applyFont="1" applyAlignment="1" applyProtection="1">
      <alignment horizontal="center"/>
      <protection locked="0"/>
    </xf>
    <xf numFmtId="0" fontId="35" fillId="0" borderId="0" xfId="0" applyFont="1" applyAlignment="1" applyProtection="1">
      <alignment horizontal="center"/>
      <protection locked="0"/>
    </xf>
    <xf numFmtId="0" fontId="29" fillId="0" borderId="0" xfId="0" applyFont="1" applyAlignment="1">
      <alignment horizontal="center" vertical="center"/>
    </xf>
    <xf numFmtId="0" fontId="32" fillId="0" borderId="0" xfId="0" applyFont="1" applyAlignment="1" applyProtection="1">
      <alignment horizontal="center"/>
      <protection locked="0"/>
    </xf>
    <xf numFmtId="9" fontId="0" fillId="0" borderId="0" xfId="0" applyNumberFormat="1"/>
    <xf numFmtId="0" fontId="40" fillId="4" borderId="1" xfId="4" applyFont="1" applyFill="1" applyBorder="1" applyAlignment="1">
      <alignment horizontal="center" vertical="center"/>
    </xf>
    <xf numFmtId="0" fontId="40" fillId="4" borderId="1" xfId="4" applyFont="1" applyFill="1" applyBorder="1" applyAlignment="1">
      <alignment horizontal="center" vertical="center" wrapText="1"/>
    </xf>
    <xf numFmtId="0" fontId="41" fillId="0" borderId="0" xfId="0" applyFont="1" applyAlignment="1">
      <alignment vertical="top"/>
    </xf>
    <xf numFmtId="0" fontId="41" fillId="0" borderId="0" xfId="0" applyFont="1" applyAlignment="1">
      <alignment horizontal="center" vertical="top"/>
    </xf>
    <xf numFmtId="0" fontId="42" fillId="0" borderId="0" xfId="0" applyFont="1" applyAlignment="1">
      <alignment vertical="top"/>
    </xf>
    <xf numFmtId="0" fontId="41" fillId="0" borderId="0" xfId="0" applyFont="1" applyAlignment="1">
      <alignment vertical="top" wrapText="1"/>
    </xf>
    <xf numFmtId="0" fontId="41" fillId="0" borderId="0" xfId="5" applyFont="1" applyFill="1" applyBorder="1" applyAlignment="1">
      <alignment horizontal="left" vertical="top" wrapText="1"/>
    </xf>
    <xf numFmtId="0" fontId="41" fillId="0" borderId="0" xfId="5" applyFont="1" applyFill="1" applyBorder="1" applyAlignment="1">
      <alignment horizontal="left" vertical="top"/>
    </xf>
    <xf numFmtId="0" fontId="42" fillId="0" borderId="0" xfId="5" applyFont="1" applyFill="1" applyBorder="1" applyAlignment="1">
      <alignment horizontal="left" vertical="top"/>
    </xf>
    <xf numFmtId="0" fontId="43" fillId="0" borderId="0" xfId="4" applyFont="1" applyAlignment="1">
      <alignment vertical="top"/>
    </xf>
    <xf numFmtId="0" fontId="41" fillId="0" borderId="0" xfId="5" applyNumberFormat="1" applyFont="1" applyFill="1" applyBorder="1" applyAlignment="1">
      <alignment horizontal="left" vertical="top" wrapText="1"/>
    </xf>
    <xf numFmtId="14" fontId="41" fillId="0" borderId="0" xfId="5" applyNumberFormat="1" applyFont="1" applyFill="1" applyBorder="1" applyAlignment="1">
      <alignment horizontal="left" vertical="top" wrapText="1"/>
    </xf>
    <xf numFmtId="0" fontId="43" fillId="0" borderId="0" xfId="5" applyFont="1" applyFill="1" applyBorder="1" applyAlignment="1">
      <alignment horizontal="left" vertical="top"/>
    </xf>
    <xf numFmtId="0" fontId="42" fillId="0" borderId="0" xfId="5" applyFont="1" applyFill="1" applyBorder="1" applyAlignment="1">
      <alignment horizontal="left" vertical="top" wrapText="1"/>
    </xf>
    <xf numFmtId="0" fontId="41" fillId="0" borderId="0" xfId="0" applyFont="1" applyAlignment="1"/>
    <xf numFmtId="0" fontId="39" fillId="0" borderId="0" xfId="1" applyFont="1" applyFill="1" applyBorder="1" applyAlignment="1">
      <alignment horizontal="left" vertical="center"/>
    </xf>
    <xf numFmtId="0" fontId="29" fillId="11" borderId="0" xfId="0" applyFont="1" applyFill="1" applyBorder="1" applyAlignment="1">
      <alignment vertical="center"/>
    </xf>
    <xf numFmtId="0" fontId="23" fillId="0" borderId="0" xfId="4" quotePrefix="1" applyNumberFormat="1" applyFont="1" applyFill="1" applyBorder="1" applyAlignment="1" applyProtection="1">
      <alignment horizontal="right"/>
      <protection locked="0"/>
    </xf>
    <xf numFmtId="0" fontId="14" fillId="7" borderId="2" xfId="4" applyFont="1" applyFill="1" applyBorder="1" applyAlignment="1">
      <alignment horizontal="left" wrapText="1"/>
    </xf>
    <xf numFmtId="0" fontId="23" fillId="0" borderId="0" xfId="4" applyNumberFormat="1" applyFont="1" applyFill="1" applyBorder="1" applyProtection="1">
      <protection locked="0"/>
    </xf>
    <xf numFmtId="0" fontId="14" fillId="0" borderId="0" xfId="4" applyNumberFormat="1" applyFont="1" applyBorder="1"/>
    <xf numFmtId="14" fontId="23" fillId="0" borderId="0" xfId="4" applyNumberFormat="1" applyFont="1" applyFill="1" applyBorder="1" applyAlignment="1" applyProtection="1">
      <alignment horizontal="right"/>
      <protection locked="0"/>
    </xf>
    <xf numFmtId="14" fontId="23" fillId="0" borderId="0" xfId="4" applyNumberFormat="1" applyFont="1" applyFill="1" applyBorder="1" applyAlignment="1" applyProtection="1">
      <alignment horizontal="left"/>
      <protection locked="0"/>
    </xf>
    <xf numFmtId="10" fontId="23" fillId="0" borderId="0" xfId="4" applyNumberFormat="1" applyFont="1" applyFill="1" applyBorder="1" applyAlignment="1" applyProtection="1">
      <alignment horizontal="center"/>
      <protection locked="0"/>
    </xf>
    <xf numFmtId="10" fontId="23" fillId="0" borderId="0" xfId="4" applyNumberFormat="1" applyFont="1" applyFill="1" applyBorder="1" applyProtection="1">
      <protection locked="0"/>
    </xf>
    <xf numFmtId="10" fontId="0" fillId="0" borderId="0" xfId="0" applyNumberFormat="1"/>
    <xf numFmtId="0" fontId="36" fillId="10" borderId="17" xfId="2" applyFont="1" applyFill="1" applyBorder="1" applyAlignment="1" applyProtection="1">
      <alignment horizontal="center" vertical="center" wrapText="1"/>
      <protection locked="0"/>
    </xf>
    <xf numFmtId="0" fontId="34" fillId="15" borderId="17" xfId="2" applyFont="1" applyFill="1" applyBorder="1" applyAlignment="1" applyProtection="1">
      <alignment horizontal="center" vertical="center" wrapText="1"/>
      <protection locked="0"/>
    </xf>
    <xf numFmtId="0" fontId="34" fillId="16" borderId="17" xfId="2" applyFont="1" applyFill="1" applyBorder="1" applyAlignment="1" applyProtection="1">
      <alignment horizontal="center" vertical="center" wrapText="1"/>
      <protection locked="0"/>
    </xf>
    <xf numFmtId="0" fontId="47" fillId="0" borderId="18" xfId="2" applyFont="1" applyFill="1" applyBorder="1" applyAlignment="1" applyProtection="1">
      <alignment horizontal="center" vertical="center" wrapText="1"/>
      <protection locked="0"/>
    </xf>
    <xf numFmtId="0" fontId="35" fillId="17" borderId="0" xfId="0" applyFont="1" applyFill="1" applyAlignment="1" applyProtection="1">
      <alignment horizontal="left"/>
      <protection locked="0"/>
    </xf>
    <xf numFmtId="0" fontId="31" fillId="17" borderId="0" xfId="0" applyFont="1" applyFill="1" applyProtection="1">
      <protection locked="0"/>
    </xf>
    <xf numFmtId="0" fontId="32" fillId="17" borderId="0" xfId="0" applyFont="1" applyFill="1" applyProtection="1">
      <protection locked="0"/>
    </xf>
    <xf numFmtId="0" fontId="31" fillId="17" borderId="0" xfId="0" applyFont="1" applyFill="1" applyAlignment="1" applyProtection="1">
      <alignment vertical="center"/>
      <protection locked="0"/>
    </xf>
    <xf numFmtId="0" fontId="51" fillId="0" borderId="0" xfId="0" applyFont="1" applyAlignment="1" applyProtection="1">
      <alignment horizontal="center"/>
      <protection locked="0"/>
    </xf>
    <xf numFmtId="180" fontId="45" fillId="5" borderId="19" xfId="4" applyNumberFormat="1" applyFont="1" applyFill="1" applyBorder="1" applyAlignment="1" applyProtection="1">
      <alignment horizontal="center" vertical="center"/>
    </xf>
    <xf numFmtId="180" fontId="45" fillId="5" borderId="21" xfId="4" applyNumberFormat="1" applyFont="1" applyFill="1" applyBorder="1" applyAlignment="1" applyProtection="1">
      <alignment horizontal="center" vertical="center"/>
    </xf>
    <xf numFmtId="0" fontId="4" fillId="11" borderId="0" xfId="1" applyFont="1" applyFill="1" applyBorder="1" applyAlignment="1">
      <alignment horizontal="left" vertical="center"/>
    </xf>
    <xf numFmtId="0" fontId="53" fillId="11" borderId="0" xfId="2" applyFont="1" applyFill="1" applyBorder="1" applyAlignment="1">
      <alignment horizontal="left" vertical="center"/>
    </xf>
    <xf numFmtId="0" fontId="54" fillId="11" borderId="0" xfId="1" applyFont="1" applyFill="1" applyBorder="1" applyAlignment="1">
      <alignment horizontal="left" vertical="center"/>
    </xf>
    <xf numFmtId="0" fontId="0" fillId="9" borderId="0" xfId="0" applyFill="1"/>
    <xf numFmtId="14" fontId="0" fillId="9" borderId="0" xfId="0" applyNumberFormat="1" applyFill="1"/>
    <xf numFmtId="14" fontId="14" fillId="0" borderId="10" xfId="4" applyNumberFormat="1" applyFont="1" applyBorder="1"/>
    <xf numFmtId="0" fontId="14" fillId="0" borderId="10" xfId="4" applyFont="1" applyBorder="1"/>
    <xf numFmtId="0" fontId="14" fillId="0" borderId="10" xfId="4" applyNumberFormat="1" applyFont="1" applyBorder="1"/>
    <xf numFmtId="14" fontId="14" fillId="0" borderId="23" xfId="4" applyNumberFormat="1" applyFont="1" applyBorder="1"/>
    <xf numFmtId="0" fontId="14" fillId="0" borderId="23" xfId="4" applyFont="1" applyBorder="1"/>
    <xf numFmtId="0" fontId="14" fillId="0" borderId="23" xfId="4" applyNumberFormat="1" applyFont="1" applyBorder="1"/>
    <xf numFmtId="0" fontId="45" fillId="0" borderId="0" xfId="4" applyFont="1" applyFill="1" applyBorder="1" applyAlignment="1" applyProtection="1">
      <alignment horizontal="left" vertical="center"/>
    </xf>
    <xf numFmtId="14" fontId="33" fillId="8" borderId="14" xfId="0" applyNumberFormat="1" applyFont="1" applyFill="1" applyBorder="1" applyProtection="1">
      <protection locked="0"/>
    </xf>
    <xf numFmtId="14" fontId="33" fillId="0" borderId="14" xfId="0" applyNumberFormat="1" applyFont="1" applyBorder="1" applyProtection="1">
      <protection locked="0"/>
    </xf>
    <xf numFmtId="14" fontId="33" fillId="0" borderId="0" xfId="4" applyNumberFormat="1" applyFont="1" applyProtection="1"/>
    <xf numFmtId="14" fontId="33" fillId="8" borderId="14" xfId="4" applyNumberFormat="1" applyFont="1" applyFill="1" applyBorder="1" applyProtection="1">
      <protection locked="0"/>
    </xf>
    <xf numFmtId="14" fontId="33" fillId="0" borderId="14" xfId="4" applyNumberFormat="1" applyFont="1" applyBorder="1" applyProtection="1">
      <protection locked="0"/>
    </xf>
    <xf numFmtId="0" fontId="55" fillId="0" borderId="0" xfId="4" applyFont="1"/>
    <xf numFmtId="14" fontId="33" fillId="0" borderId="14" xfId="0" applyNumberFormat="1" applyFont="1" applyFill="1" applyBorder="1" applyProtection="1">
      <protection locked="0"/>
    </xf>
    <xf numFmtId="14" fontId="33" fillId="0" borderId="14" xfId="4" applyNumberFormat="1" applyFont="1" applyBorder="1" applyProtection="1"/>
    <xf numFmtId="0" fontId="14" fillId="0" borderId="0" xfId="4" applyFont="1" applyBorder="1"/>
    <xf numFmtId="0" fontId="14" fillId="7" borderId="2" xfId="4" applyNumberFormat="1" applyFont="1" applyFill="1" applyBorder="1" applyAlignment="1">
      <alignment horizontal="left" wrapText="1"/>
    </xf>
    <xf numFmtId="0" fontId="14" fillId="7" borderId="3" xfId="4" applyNumberFormat="1" applyFont="1" applyFill="1" applyBorder="1" applyAlignment="1">
      <alignment horizontal="left" wrapText="1"/>
    </xf>
    <xf numFmtId="10" fontId="14" fillId="0" borderId="10" xfId="6" applyNumberFormat="1" applyFont="1" applyBorder="1" applyAlignment="1"/>
    <xf numFmtId="10" fontId="14" fillId="0" borderId="23" xfId="6" applyNumberFormat="1" applyFont="1" applyBorder="1" applyAlignment="1"/>
    <xf numFmtId="0" fontId="11" fillId="0" borderId="24" xfId="4" applyFont="1" applyFill="1" applyBorder="1" applyAlignment="1" applyProtection="1">
      <alignment horizontal="left" vertical="center"/>
      <protection locked="0"/>
    </xf>
    <xf numFmtId="0" fontId="11" fillId="0" borderId="25" xfId="4" applyFont="1" applyFill="1" applyBorder="1" applyAlignment="1" applyProtection="1">
      <alignment horizontal="left" vertical="center"/>
      <protection locked="0"/>
    </xf>
    <xf numFmtId="0" fontId="11" fillId="0" borderId="26" xfId="4" applyFont="1" applyFill="1" applyBorder="1" applyAlignment="1" applyProtection="1">
      <alignment horizontal="left" vertical="center"/>
      <protection locked="0"/>
    </xf>
    <xf numFmtId="0" fontId="11" fillId="0" borderId="27" xfId="4" applyFont="1" applyFill="1" applyBorder="1" applyAlignment="1" applyProtection="1">
      <alignment vertical="top"/>
      <protection locked="0"/>
    </xf>
    <xf numFmtId="0" fontId="11" fillId="0" borderId="27" xfId="4" applyFont="1" applyFill="1" applyBorder="1" applyAlignment="1" applyProtection="1">
      <alignment horizontal="right" vertical="top"/>
      <protection locked="0"/>
    </xf>
    <xf numFmtId="0" fontId="11" fillId="0" borderId="27" xfId="4" applyFont="1" applyFill="1" applyBorder="1" applyAlignment="1" applyProtection="1">
      <alignment horizontal="left" vertical="top"/>
      <protection locked="0"/>
    </xf>
    <xf numFmtId="14" fontId="11" fillId="0" borderId="27" xfId="4" applyNumberFormat="1" applyFont="1" applyFill="1" applyBorder="1" applyAlignment="1" applyProtection="1">
      <alignment horizontal="center" vertical="top"/>
      <protection locked="0"/>
    </xf>
    <xf numFmtId="0" fontId="11" fillId="0" borderId="27" xfId="4" applyNumberFormat="1" applyFont="1" applyFill="1" applyBorder="1" applyAlignment="1" applyProtection="1">
      <alignment horizontal="center" vertical="top"/>
      <protection locked="0"/>
    </xf>
    <xf numFmtId="0" fontId="11" fillId="0" borderId="27" xfId="4" applyNumberFormat="1" applyFont="1" applyFill="1" applyBorder="1" applyAlignment="1" applyProtection="1">
      <alignment horizontal="left" vertical="top"/>
      <protection locked="0"/>
    </xf>
    <xf numFmtId="176" fontId="11" fillId="0" borderId="27" xfId="4" applyNumberFormat="1" applyFont="1" applyFill="1" applyBorder="1" applyAlignment="1" applyProtection="1">
      <alignment horizontal="center" vertical="top"/>
      <protection locked="0"/>
    </xf>
    <xf numFmtId="177" fontId="11" fillId="0" borderId="27" xfId="4" applyNumberFormat="1" applyFont="1" applyFill="1" applyBorder="1" applyAlignment="1" applyProtection="1">
      <alignment horizontal="center" vertical="top"/>
      <protection locked="0"/>
    </xf>
    <xf numFmtId="1" fontId="11" fillId="0" borderId="27" xfId="4" applyNumberFormat="1" applyFont="1" applyFill="1" applyBorder="1" applyAlignment="1" applyProtection="1">
      <alignment horizontal="center" vertical="top"/>
      <protection locked="0"/>
    </xf>
    <xf numFmtId="178" fontId="11" fillId="0" borderId="27" xfId="4" applyNumberFormat="1" applyFont="1" applyFill="1" applyBorder="1" applyAlignment="1" applyProtection="1">
      <alignment horizontal="center" vertical="top"/>
      <protection locked="0"/>
    </xf>
    <xf numFmtId="14" fontId="11" fillId="0" borderId="27" xfId="4" applyNumberFormat="1" applyFont="1" applyFill="1" applyBorder="1" applyAlignment="1" applyProtection="1">
      <alignment horizontal="left" vertical="top"/>
      <protection locked="0"/>
    </xf>
    <xf numFmtId="10" fontId="11" fillId="0" borderId="27" xfId="3" applyNumberFormat="1" applyFont="1" applyFill="1" applyBorder="1" applyAlignment="1" applyProtection="1">
      <alignment horizontal="right" vertical="top" wrapText="1"/>
      <protection locked="0"/>
    </xf>
    <xf numFmtId="10" fontId="11" fillId="0" borderId="27" xfId="3" applyNumberFormat="1" applyFont="1" applyFill="1" applyBorder="1" applyAlignment="1" applyProtection="1">
      <alignment horizontal="right" vertical="top"/>
      <protection locked="0"/>
    </xf>
    <xf numFmtId="0" fontId="11" fillId="0" borderId="28" xfId="4" applyFont="1" applyFill="1" applyBorder="1" applyAlignment="1" applyProtection="1">
      <alignment vertical="top"/>
      <protection locked="0"/>
    </xf>
    <xf numFmtId="0" fontId="11" fillId="0" borderId="28" xfId="4" applyFont="1" applyFill="1" applyBorder="1" applyAlignment="1" applyProtection="1">
      <alignment horizontal="left" vertical="top"/>
      <protection locked="0"/>
    </xf>
    <xf numFmtId="14" fontId="11" fillId="0" borderId="28" xfId="4" applyNumberFormat="1" applyFont="1" applyFill="1" applyBorder="1" applyAlignment="1" applyProtection="1">
      <alignment horizontal="center" vertical="top"/>
      <protection locked="0"/>
    </xf>
    <xf numFmtId="0" fontId="11" fillId="0" borderId="28" xfId="4" applyNumberFormat="1" applyFont="1" applyFill="1" applyBorder="1" applyAlignment="1" applyProtection="1">
      <alignment horizontal="center" vertical="top"/>
      <protection locked="0"/>
    </xf>
    <xf numFmtId="0" fontId="11" fillId="0" borderId="28" xfId="4" applyNumberFormat="1" applyFont="1" applyFill="1" applyBorder="1" applyAlignment="1" applyProtection="1">
      <alignment horizontal="left" vertical="top"/>
      <protection locked="0"/>
    </xf>
    <xf numFmtId="176" fontId="11" fillId="0" borderId="28" xfId="4" applyNumberFormat="1" applyFont="1" applyFill="1" applyBorder="1" applyAlignment="1" applyProtection="1">
      <alignment horizontal="center" vertical="top"/>
      <protection locked="0"/>
    </xf>
    <xf numFmtId="177" fontId="11" fillId="0" borderId="28" xfId="4" applyNumberFormat="1" applyFont="1" applyFill="1" applyBorder="1" applyAlignment="1" applyProtection="1">
      <alignment horizontal="center" vertical="top"/>
      <protection locked="0"/>
    </xf>
    <xf numFmtId="1" fontId="11" fillId="0" borderId="28" xfId="4" applyNumberFormat="1" applyFont="1" applyFill="1" applyBorder="1" applyAlignment="1" applyProtection="1">
      <alignment horizontal="center" vertical="top"/>
      <protection locked="0"/>
    </xf>
    <xf numFmtId="178" fontId="11" fillId="0" borderId="28" xfId="4" applyNumberFormat="1" applyFont="1" applyFill="1" applyBorder="1" applyAlignment="1" applyProtection="1">
      <alignment horizontal="center" vertical="top"/>
      <protection locked="0"/>
    </xf>
    <xf numFmtId="14" fontId="11" fillId="0" borderId="28" xfId="4" applyNumberFormat="1" applyFont="1" applyFill="1" applyBorder="1" applyAlignment="1" applyProtection="1">
      <alignment horizontal="left" vertical="top"/>
      <protection locked="0"/>
    </xf>
    <xf numFmtId="10" fontId="11" fillId="0" borderId="28" xfId="6" applyNumberFormat="1" applyFont="1" applyFill="1" applyBorder="1" applyAlignment="1" applyProtection="1">
      <alignment horizontal="right" vertical="top" wrapText="1"/>
      <protection locked="0"/>
    </xf>
    <xf numFmtId="10" fontId="11" fillId="0" borderId="28" xfId="6" applyNumberFormat="1" applyFont="1" applyFill="1" applyBorder="1" applyAlignment="1" applyProtection="1">
      <alignment horizontal="right" vertical="top"/>
      <protection locked="0"/>
    </xf>
    <xf numFmtId="0" fontId="45" fillId="5" borderId="21" xfId="4" applyFont="1" applyFill="1" applyBorder="1" applyAlignment="1" applyProtection="1">
      <alignment horizontal="left" vertical="center"/>
    </xf>
    <xf numFmtId="0" fontId="45" fillId="5" borderId="20" xfId="4" applyFont="1" applyFill="1" applyBorder="1" applyAlignment="1" applyProtection="1">
      <alignment horizontal="left" vertical="center"/>
    </xf>
    <xf numFmtId="0" fontId="11" fillId="0" borderId="28" xfId="4" quotePrefix="1" applyFont="1" applyFill="1" applyBorder="1" applyAlignment="1" applyProtection="1">
      <alignment horizontal="right" vertical="top"/>
      <protection locked="0"/>
    </xf>
    <xf numFmtId="0" fontId="57" fillId="0" borderId="28" xfId="4" applyNumberFormat="1" applyFont="1" applyFill="1" applyBorder="1" applyAlignment="1" applyProtection="1">
      <alignment horizontal="left" vertical="top"/>
      <protection locked="0"/>
    </xf>
    <xf numFmtId="0" fontId="58" fillId="0" borderId="28" xfId="4" applyNumberFormat="1" applyFont="1" applyFill="1" applyBorder="1" applyAlignment="1" applyProtection="1">
      <alignment horizontal="left" vertical="top"/>
      <protection locked="0"/>
    </xf>
    <xf numFmtId="0" fontId="58" fillId="0" borderId="28" xfId="4" applyFont="1" applyFill="1" applyBorder="1" applyAlignment="1" applyProtection="1">
      <alignment horizontal="left" vertical="top"/>
      <protection locked="0"/>
    </xf>
    <xf numFmtId="0" fontId="11" fillId="0" borderId="29" xfId="4" applyFont="1" applyFill="1" applyBorder="1" applyAlignment="1" applyProtection="1">
      <alignment vertical="top"/>
      <protection locked="0"/>
    </xf>
    <xf numFmtId="0" fontId="11" fillId="0" borderId="29" xfId="4" quotePrefix="1" applyFont="1" applyFill="1" applyBorder="1" applyAlignment="1" applyProtection="1">
      <alignment horizontal="right" vertical="top"/>
      <protection locked="0"/>
    </xf>
    <xf numFmtId="0" fontId="11" fillId="0" borderId="29" xfId="4" applyFont="1" applyFill="1" applyBorder="1" applyAlignment="1" applyProtection="1">
      <alignment horizontal="left" vertical="top"/>
      <protection locked="0"/>
    </xf>
    <xf numFmtId="14" fontId="11" fillId="0" borderId="29" xfId="4" applyNumberFormat="1" applyFont="1" applyFill="1" applyBorder="1" applyAlignment="1" applyProtection="1">
      <alignment horizontal="center" vertical="top"/>
      <protection locked="0"/>
    </xf>
    <xf numFmtId="0" fontId="11" fillId="0" borderId="29" xfId="4" applyNumberFormat="1" applyFont="1" applyFill="1" applyBorder="1" applyAlignment="1" applyProtection="1">
      <alignment horizontal="left" vertical="top"/>
      <protection locked="0"/>
    </xf>
    <xf numFmtId="176" fontId="11" fillId="0" borderId="29" xfId="4" applyNumberFormat="1" applyFont="1" applyFill="1" applyBorder="1" applyAlignment="1" applyProtection="1">
      <alignment horizontal="center" vertical="top"/>
      <protection locked="0"/>
    </xf>
    <xf numFmtId="0" fontId="11" fillId="0" borderId="29" xfId="4" applyNumberFormat="1" applyFont="1" applyFill="1" applyBorder="1" applyAlignment="1" applyProtection="1">
      <alignment horizontal="center" vertical="top"/>
      <protection locked="0"/>
    </xf>
    <xf numFmtId="177" fontId="11" fillId="0" borderId="29" xfId="4" applyNumberFormat="1" applyFont="1" applyFill="1" applyBorder="1" applyAlignment="1" applyProtection="1">
      <alignment horizontal="center" vertical="top"/>
      <protection locked="0"/>
    </xf>
    <xf numFmtId="1" fontId="11" fillId="0" borderId="29" xfId="4" applyNumberFormat="1" applyFont="1" applyFill="1" applyBorder="1" applyAlignment="1" applyProtection="1">
      <alignment horizontal="center" vertical="top"/>
      <protection locked="0"/>
    </xf>
    <xf numFmtId="178" fontId="11" fillId="0" borderId="29" xfId="4" applyNumberFormat="1" applyFont="1" applyFill="1" applyBorder="1" applyAlignment="1" applyProtection="1">
      <alignment horizontal="center" vertical="top"/>
      <protection locked="0"/>
    </xf>
    <xf numFmtId="14" fontId="11" fillId="0" borderId="29" xfId="4" applyNumberFormat="1" applyFont="1" applyFill="1" applyBorder="1" applyAlignment="1" applyProtection="1">
      <alignment horizontal="left" vertical="top"/>
      <protection locked="0"/>
    </xf>
    <xf numFmtId="10" fontId="11" fillId="0" borderId="29" xfId="6" applyNumberFormat="1" applyFont="1" applyFill="1" applyBorder="1" applyAlignment="1" applyProtection="1">
      <alignment horizontal="right" vertical="top" wrapText="1"/>
      <protection locked="0"/>
    </xf>
    <xf numFmtId="10" fontId="11" fillId="0" borderId="29" xfId="6" applyNumberFormat="1" applyFont="1" applyFill="1" applyBorder="1" applyAlignment="1" applyProtection="1">
      <alignment horizontal="right" vertical="top"/>
      <protection locked="0"/>
    </xf>
    <xf numFmtId="0" fontId="57" fillId="0" borderId="28" xfId="4" applyFont="1" applyFill="1" applyBorder="1" applyAlignment="1" applyProtection="1">
      <alignment horizontal="left" vertical="top"/>
      <protection locked="0"/>
    </xf>
    <xf numFmtId="0" fontId="59" fillId="0" borderId="28" xfId="4" applyNumberFormat="1" applyFont="1" applyFill="1" applyBorder="1" applyAlignment="1" applyProtection="1">
      <alignment horizontal="left" vertical="top"/>
      <protection locked="0"/>
    </xf>
    <xf numFmtId="0" fontId="60" fillId="0" borderId="28" xfId="4" applyNumberFormat="1" applyFont="1" applyFill="1" applyBorder="1" applyAlignment="1" applyProtection="1">
      <alignment horizontal="left" vertical="top"/>
      <protection locked="0"/>
    </xf>
    <xf numFmtId="0" fontId="11" fillId="0" borderId="28" xfId="4" applyFont="1" applyBorder="1" applyAlignment="1" applyProtection="1">
      <alignment vertical="top"/>
      <protection locked="0"/>
    </xf>
    <xf numFmtId="0" fontId="11" fillId="0" borderId="28" xfId="4" quotePrefix="1" applyFont="1" applyBorder="1" applyAlignment="1" applyProtection="1">
      <alignment horizontal="right" vertical="top"/>
      <protection locked="0"/>
    </xf>
    <xf numFmtId="0" fontId="11" fillId="0" borderId="28" xfId="4" applyFont="1" applyBorder="1" applyAlignment="1" applyProtection="1">
      <alignment horizontal="left" vertical="top"/>
      <protection locked="0"/>
    </xf>
    <xf numFmtId="14" fontId="11" fillId="0" borderId="28" xfId="4" applyNumberFormat="1" applyFont="1" applyBorder="1" applyAlignment="1" applyProtection="1">
      <alignment horizontal="center" vertical="top"/>
      <protection locked="0"/>
    </xf>
    <xf numFmtId="176" fontId="11" fillId="0" borderId="28" xfId="4" applyNumberFormat="1" applyFont="1" applyBorder="1" applyAlignment="1" applyProtection="1">
      <alignment horizontal="center" vertical="top"/>
      <protection locked="0"/>
    </xf>
    <xf numFmtId="0" fontId="11" fillId="0" borderId="28" xfId="4" applyFont="1" applyBorder="1" applyAlignment="1" applyProtection="1">
      <alignment horizontal="center" vertical="top"/>
      <protection locked="0"/>
    </xf>
    <xf numFmtId="177" fontId="11" fillId="0" borderId="28" xfId="4" applyNumberFormat="1" applyFont="1" applyBorder="1" applyAlignment="1" applyProtection="1">
      <alignment horizontal="center" vertical="top"/>
      <protection locked="0"/>
    </xf>
    <xf numFmtId="1" fontId="11" fillId="0" borderId="28" xfId="4" applyNumberFormat="1" applyFont="1" applyBorder="1" applyAlignment="1" applyProtection="1">
      <alignment horizontal="center" vertical="top"/>
      <protection locked="0"/>
    </xf>
    <xf numFmtId="178" fontId="11" fillId="0" borderId="28" xfId="4" applyNumberFormat="1" applyFont="1" applyBorder="1" applyAlignment="1" applyProtection="1">
      <alignment horizontal="center" vertical="top"/>
      <protection locked="0"/>
    </xf>
    <xf numFmtId="14" fontId="11" fillId="0" borderId="28" xfId="4" applyNumberFormat="1" applyFont="1" applyBorder="1" applyAlignment="1" applyProtection="1">
      <alignment horizontal="left" vertical="top"/>
      <protection locked="0"/>
    </xf>
    <xf numFmtId="0" fontId="60" fillId="0" borderId="28" xfId="4" applyFont="1" applyBorder="1" applyAlignment="1" applyProtection="1">
      <alignment horizontal="left" vertical="top"/>
      <protection locked="0"/>
    </xf>
    <xf numFmtId="0" fontId="33" fillId="0" borderId="18" xfId="0" applyFont="1" applyFill="1" applyBorder="1" applyAlignment="1" applyProtection="1">
      <alignment horizontal="left" vertical="top" wrapText="1"/>
      <protection locked="0"/>
    </xf>
    <xf numFmtId="0" fontId="49" fillId="17" borderId="0" xfId="0" applyFont="1" applyFill="1" applyAlignment="1">
      <alignment horizontal="left" vertical="top" wrapText="1"/>
    </xf>
    <xf numFmtId="0" fontId="38" fillId="11" borderId="0" xfId="2" applyFont="1" applyFill="1" applyBorder="1" applyAlignment="1" applyProtection="1">
      <alignment horizontal="right"/>
    </xf>
    <xf numFmtId="0" fontId="48" fillId="11" borderId="22" xfId="2" applyFont="1" applyFill="1" applyBorder="1" applyAlignment="1" applyProtection="1">
      <alignment horizontal="right" vertical="center"/>
    </xf>
    <xf numFmtId="0" fontId="29" fillId="0" borderId="0" xfId="0" applyFont="1" applyFill="1" applyAlignment="1">
      <alignment horizontal="left" vertical="top" wrapText="1"/>
    </xf>
    <xf numFmtId="0" fontId="33" fillId="0" borderId="15" xfId="0" applyFont="1" applyFill="1" applyBorder="1" applyAlignment="1" applyProtection="1">
      <alignment horizontal="left" vertical="center" wrapText="1"/>
      <protection locked="0"/>
    </xf>
    <xf numFmtId="0" fontId="33" fillId="0" borderId="18" xfId="0" applyFont="1" applyFill="1" applyBorder="1" applyAlignment="1" applyProtection="1">
      <alignment horizontal="left" vertical="center" wrapText="1"/>
      <protection locked="0"/>
    </xf>
    <xf numFmtId="0" fontId="50" fillId="11" borderId="0" xfId="0" applyFont="1" applyFill="1" applyBorder="1" applyAlignment="1" applyProtection="1">
      <alignment horizontal="left" vertical="center"/>
    </xf>
    <xf numFmtId="0" fontId="50" fillId="11" borderId="22" xfId="0" applyFont="1" applyFill="1" applyBorder="1" applyAlignment="1" applyProtection="1">
      <alignment horizontal="left" vertical="center"/>
    </xf>
    <xf numFmtId="0" fontId="44" fillId="5" borderId="21" xfId="1" applyFont="1" applyFill="1" applyBorder="1" applyAlignment="1">
      <alignment horizontal="left" vertical="center" wrapText="1"/>
    </xf>
    <xf numFmtId="0" fontId="44" fillId="5" borderId="21" xfId="1" applyFont="1" applyFill="1" applyBorder="1" applyAlignment="1">
      <alignment horizontal="left" vertical="center"/>
    </xf>
    <xf numFmtId="0" fontId="44" fillId="5" borderId="20" xfId="1" applyFont="1" applyFill="1" applyBorder="1" applyAlignment="1">
      <alignment horizontal="left" vertical="center"/>
    </xf>
    <xf numFmtId="176" fontId="10" fillId="10" borderId="2" xfId="4" applyNumberFormat="1" applyFont="1" applyFill="1" applyBorder="1" applyAlignment="1" applyProtection="1">
      <alignment horizontal="center" vertical="center"/>
    </xf>
    <xf numFmtId="0" fontId="26" fillId="11" borderId="0" xfId="3" applyNumberFormat="1" applyFont="1" applyFill="1" applyBorder="1" applyAlignment="1">
      <alignment horizontal="center" vertical="center" wrapText="1"/>
    </xf>
    <xf numFmtId="14" fontId="46" fillId="10" borderId="2" xfId="4" applyNumberFormat="1" applyFont="1" applyFill="1" applyBorder="1" applyAlignment="1" applyProtection="1">
      <alignment horizontal="center" vertical="center"/>
    </xf>
    <xf numFmtId="14" fontId="10" fillId="10" borderId="2" xfId="4" applyNumberFormat="1" applyFont="1" applyFill="1" applyBorder="1" applyAlignment="1" applyProtection="1">
      <alignment horizontal="center" vertical="center"/>
    </xf>
    <xf numFmtId="176" fontId="10" fillId="5" borderId="2" xfId="4" applyNumberFormat="1" applyFont="1" applyFill="1" applyBorder="1" applyAlignment="1" applyProtection="1">
      <alignment horizontal="center" vertical="center" wrapText="1"/>
    </xf>
    <xf numFmtId="0" fontId="10" fillId="10" borderId="2" xfId="4" applyNumberFormat="1" applyFont="1" applyFill="1" applyBorder="1" applyAlignment="1" applyProtection="1">
      <alignment horizontal="center" vertical="center"/>
    </xf>
    <xf numFmtId="10" fontId="10" fillId="10" borderId="3" xfId="3" applyNumberFormat="1" applyFont="1" applyFill="1" applyBorder="1" applyAlignment="1" applyProtection="1">
      <alignment horizontal="center" vertical="center" wrapText="1"/>
    </xf>
    <xf numFmtId="0" fontId="10" fillId="10" borderId="1" xfId="4" applyFont="1" applyFill="1" applyBorder="1" applyAlignment="1" applyProtection="1">
      <alignment horizontal="center" vertical="center" wrapText="1"/>
    </xf>
    <xf numFmtId="0" fontId="10" fillId="10" borderId="0" xfId="4" applyFont="1" applyFill="1" applyBorder="1" applyAlignment="1" applyProtection="1">
      <alignment horizontal="center" vertical="center" wrapText="1"/>
    </xf>
    <xf numFmtId="0" fontId="10" fillId="10" borderId="2" xfId="4" applyFont="1" applyFill="1" applyBorder="1" applyAlignment="1" applyProtection="1">
      <alignment horizontal="center" vertical="center"/>
    </xf>
    <xf numFmtId="0" fontId="10" fillId="10" borderId="16" xfId="4" applyFont="1" applyFill="1" applyBorder="1" applyAlignment="1" applyProtection="1">
      <alignment horizontal="center" vertical="center"/>
    </xf>
    <xf numFmtId="0" fontId="10" fillId="10" borderId="2" xfId="4" applyFont="1" applyFill="1" applyBorder="1" applyAlignment="1" applyProtection="1">
      <alignment horizontal="center" vertical="center" wrapText="1"/>
    </xf>
    <xf numFmtId="0" fontId="10" fillId="5" borderId="2" xfId="4" applyFont="1" applyFill="1" applyBorder="1" applyAlignment="1" applyProtection="1">
      <alignment horizontal="center" vertical="center"/>
    </xf>
    <xf numFmtId="0" fontId="10" fillId="10" borderId="3" xfId="4" applyFont="1" applyFill="1" applyBorder="1" applyAlignment="1" applyProtection="1">
      <alignment horizontal="center" vertical="center"/>
    </xf>
    <xf numFmtId="0" fontId="10" fillId="10" borderId="0" xfId="4" applyFont="1" applyFill="1" applyBorder="1" applyAlignment="1" applyProtection="1">
      <alignment horizontal="center" vertical="center"/>
    </xf>
    <xf numFmtId="176" fontId="10" fillId="5" borderId="2" xfId="4" applyNumberFormat="1" applyFont="1" applyFill="1" applyBorder="1" applyAlignment="1" applyProtection="1">
      <alignment horizontal="center" vertical="top" wrapText="1"/>
    </xf>
    <xf numFmtId="14" fontId="10" fillId="10" borderId="2" xfId="4" applyNumberFormat="1" applyFont="1" applyFill="1" applyBorder="1" applyAlignment="1" applyProtection="1">
      <alignment horizontal="center" vertical="center" wrapText="1"/>
    </xf>
    <xf numFmtId="0" fontId="10" fillId="5" borderId="2" xfId="4" applyNumberFormat="1" applyFont="1" applyFill="1" applyBorder="1" applyAlignment="1" applyProtection="1">
      <alignment horizontal="center" vertical="center" wrapText="1"/>
    </xf>
    <xf numFmtId="10" fontId="10" fillId="5" borderId="2" xfId="3" applyNumberFormat="1" applyFont="1" applyFill="1" applyBorder="1" applyAlignment="1" applyProtection="1">
      <alignment horizontal="center" vertical="center" wrapText="1"/>
    </xf>
    <xf numFmtId="1" fontId="10" fillId="5" borderId="2" xfId="4" applyNumberFormat="1" applyFont="1" applyFill="1" applyBorder="1" applyAlignment="1" applyProtection="1">
      <alignment horizontal="center" vertical="center" wrapText="1"/>
    </xf>
    <xf numFmtId="177" fontId="10" fillId="5" borderId="2" xfId="4" applyNumberFormat="1" applyFont="1" applyFill="1" applyBorder="1" applyAlignment="1" applyProtection="1">
      <alignment horizontal="center" vertical="center" wrapText="1"/>
    </xf>
    <xf numFmtId="0" fontId="44" fillId="5" borderId="19" xfId="1" applyFont="1" applyFill="1" applyBorder="1" applyAlignment="1">
      <alignment horizontal="left" vertical="center" wrapText="1"/>
    </xf>
    <xf numFmtId="0" fontId="15" fillId="0" borderId="0" xfId="4" applyFont="1" applyFill="1" applyBorder="1" applyAlignment="1" applyProtection="1">
      <alignment horizontal="left" vertical="center" wrapText="1"/>
      <protection locked="0"/>
    </xf>
    <xf numFmtId="0" fontId="15" fillId="0" borderId="0" xfId="4" applyFont="1" applyFill="1" applyBorder="1" applyAlignment="1" applyProtection="1">
      <alignment horizontal="left" vertical="center"/>
      <protection locked="0"/>
    </xf>
    <xf numFmtId="0" fontId="12" fillId="0" borderId="0" xfId="1" applyFont="1" applyFill="1" applyBorder="1" applyAlignment="1">
      <alignment horizontal="left" vertical="center"/>
    </xf>
    <xf numFmtId="0" fontId="9" fillId="0" borderId="0" xfId="1" applyFont="1" applyFill="1" applyBorder="1" applyAlignment="1">
      <alignment horizontal="left" vertical="center"/>
    </xf>
    <xf numFmtId="14" fontId="16" fillId="3" borderId="0" xfId="4" applyNumberFormat="1" applyFont="1" applyFill="1" applyBorder="1" applyAlignment="1" applyProtection="1">
      <alignment horizontal="right" vertical="center"/>
    </xf>
    <xf numFmtId="0" fontId="56" fillId="0" borderId="0" xfId="4" applyFont="1" applyFill="1" applyBorder="1" applyAlignment="1" applyProtection="1">
      <alignment horizontal="left" vertical="center" wrapText="1"/>
      <protection locked="0"/>
    </xf>
    <xf numFmtId="14" fontId="14" fillId="3" borderId="0" xfId="4" applyNumberFormat="1" applyFont="1" applyFill="1" applyBorder="1" applyAlignment="1" applyProtection="1">
      <alignment horizontal="left" vertical="top" wrapText="1"/>
    </xf>
    <xf numFmtId="14" fontId="19" fillId="8"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3399FF"/>
      <color rgb="FF2592FF"/>
      <color rgb="FF00A44A"/>
      <color rgb="FFF2F2FF"/>
      <color rgb="FFFF3300"/>
      <color rgb="FFFF6F0D"/>
      <color rgb="FFED7D31"/>
      <color rgb="FF198CFF"/>
      <color rgb="FFFF6600"/>
      <color rgb="FFFA6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AnalysisReport!$F$7:$F$28</c:f>
              <c:numCache>
                <c:formatCode>0.00%</c:formatCode>
                <c:ptCount val="22"/>
                <c:pt idx="0">
                  <c:v>1.444043321299639E-2</c:v>
                </c:pt>
                <c:pt idx="1">
                  <c:v>6.1371841155234655E-2</c:v>
                </c:pt>
                <c:pt idx="2">
                  <c:v>0.11552346570397112</c:v>
                </c:pt>
                <c:pt idx="3">
                  <c:v>0.13718411552346571</c:v>
                </c:pt>
                <c:pt idx="4">
                  <c:v>0.16967509025270758</c:v>
                </c:pt>
                <c:pt idx="5">
                  <c:v>0.22021660649819494</c:v>
                </c:pt>
                <c:pt idx="6">
                  <c:v>0.2563176895306859</c:v>
                </c:pt>
                <c:pt idx="7">
                  <c:v>0.27436823104693142</c:v>
                </c:pt>
                <c:pt idx="8">
                  <c:v>0.3176895306859206</c:v>
                </c:pt>
                <c:pt idx="9">
                  <c:v>0.37906137184115524</c:v>
                </c:pt>
                <c:pt idx="10">
                  <c:v>0.44404332129963897</c:v>
                </c:pt>
                <c:pt idx="11">
                  <c:v>0.50180505415162457</c:v>
                </c:pt>
                <c:pt idx="12">
                  <c:v>0.55595667870036103</c:v>
                </c:pt>
                <c:pt idx="13">
                  <c:v>0.62093862815884482</c:v>
                </c:pt>
                <c:pt idx="14">
                  <c:v>0.70036101083032487</c:v>
                </c:pt>
                <c:pt idx="15">
                  <c:v>0.79061371841155237</c:v>
                </c:pt>
                <c:pt idx="16">
                  <c:v>0.88086642599277976</c:v>
                </c:pt>
                <c:pt idx="17">
                  <c:v>0.89891696750902528</c:v>
                </c:pt>
                <c:pt idx="18">
                  <c:v>0.9422382671480144</c:v>
                </c:pt>
                <c:pt idx="19">
                  <c:v>0.95667870036101088</c:v>
                </c:pt>
                <c:pt idx="20">
                  <c:v>0.97472924187725629</c:v>
                </c:pt>
                <c:pt idx="21">
                  <c:v>1</c:v>
                </c:pt>
              </c:numCache>
            </c:numRef>
          </c:val>
          <c:smooth val="0"/>
          <c:extLst>
            <c:ext xmlns:c16="http://schemas.microsoft.com/office/drawing/2014/chart" uri="{C3380CC4-5D6E-409C-BE32-E72D297353CC}">
              <c16:uniqueId val="{00000000-1574-4CC5-9CDB-CE378287169E}"/>
            </c:ext>
          </c:extLst>
        </c:ser>
        <c:ser>
          <c:idx val="1"/>
          <c:order val="1"/>
          <c:tx>
            <c:strRef>
              <c:f>AnalysisReport!$I$6</c:f>
              <c:strCache>
                <c:ptCount val="1"/>
                <c:pt idx="0">
                  <c:v>실적기성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AnalysisReport!$I$7:$I$28</c:f>
              <c:numCache>
                <c:formatCode>0.00%</c:formatCode>
                <c:ptCount val="22"/>
                <c:pt idx="0">
                  <c:v>1.444043321299639E-2</c:v>
                </c:pt>
                <c:pt idx="1">
                  <c:v>5.4151624548736461E-2</c:v>
                </c:pt>
                <c:pt idx="2">
                  <c:v>9.6028880866425997E-2</c:v>
                </c:pt>
                <c:pt idx="3">
                  <c:v>0.11768953068592058</c:v>
                </c:pt>
                <c:pt idx="4">
                  <c:v>0.12851985559566786</c:v>
                </c:pt>
                <c:pt idx="5">
                  <c:v>0.12851985559566786</c:v>
                </c:pt>
              </c:numCache>
            </c:numRef>
          </c:val>
          <c:smooth val="0"/>
          <c:extLst>
            <c:ext xmlns:c16="http://schemas.microsoft.com/office/drawing/2014/chart" uri="{C3380CC4-5D6E-409C-BE32-E72D297353CC}">
              <c16:uniqueId val="{00000001-1574-4CC5-9CDB-CE378287169E}"/>
            </c:ext>
          </c:extLst>
        </c:ser>
        <c:ser>
          <c:idx val="2"/>
          <c:order val="2"/>
          <c:tx>
            <c:strRef>
              <c:f>AnalysisReport!$L$6</c:f>
              <c:strCache>
                <c:ptCount val="1"/>
                <c:pt idx="0">
                  <c:v>실제작업량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AnalysisReport!$L$7:$L$28</c:f>
              <c:numCache>
                <c:formatCode>0.00%</c:formatCode>
                <c:ptCount val="22"/>
                <c:pt idx="0">
                  <c:v>0</c:v>
                </c:pt>
                <c:pt idx="1">
                  <c:v>0</c:v>
                </c:pt>
                <c:pt idx="2">
                  <c:v>0</c:v>
                </c:pt>
                <c:pt idx="3">
                  <c:v>0</c:v>
                </c:pt>
                <c:pt idx="4">
                  <c:v>0</c:v>
                </c:pt>
                <c:pt idx="5">
                  <c:v>0</c:v>
                </c:pt>
              </c:numCache>
            </c:numRef>
          </c:val>
          <c:smooth val="0"/>
          <c:extLst>
            <c:ext xmlns:c16="http://schemas.microsoft.com/office/drawing/2014/chart" uri="{C3380CC4-5D6E-409C-BE32-E72D297353CC}">
              <c16:uniqueId val="{00000002-1574-4CC5-9CDB-CE378287169E}"/>
            </c:ext>
          </c:extLst>
        </c:ser>
        <c:dLbls>
          <c:showLegendKey val="0"/>
          <c:showVal val="0"/>
          <c:showCatName val="0"/>
          <c:showSerName val="0"/>
          <c:showPercent val="0"/>
          <c:showBubbleSize val="0"/>
        </c:dLbls>
        <c:marker val="1"/>
        <c:smooth val="0"/>
        <c:axId val="2084084864"/>
        <c:axId val="2084064240"/>
      </c:lineChart>
      <c:dateAx>
        <c:axId val="208408486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084064240"/>
        <c:crosses val="autoZero"/>
        <c:auto val="1"/>
        <c:lblOffset val="100"/>
        <c:baseTimeUnit val="days"/>
      </c:dateAx>
      <c:valAx>
        <c:axId val="2084064240"/>
        <c:scaling>
          <c:orientation val="minMax"/>
        </c:scaling>
        <c:delete val="0"/>
        <c:axPos val="l"/>
        <c:majorGridlines/>
        <c:numFmt formatCode="0.00%" sourceLinked="1"/>
        <c:majorTickMark val="out"/>
        <c:minorTickMark val="none"/>
        <c:tickLblPos val="nextTo"/>
        <c:crossAx val="208408486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45</xdr:row>
      <xdr:rowOff>0</xdr:rowOff>
    </xdr:to>
    <xdr:cxnSp macro="">
      <xdr:nvCxnSpPr>
        <xdr:cNvPr id="14006" name="직선 화살표 연결선 14005">
          <a:extLst>
            <a:ext uri="{FF2B5EF4-FFF2-40B4-BE49-F238E27FC236}">
              <a16:creationId xmlns:a16="http://schemas.microsoft.com/office/drawing/2014/main" id="{2B46F7AD-B325-4821-AE1C-2F0776AE8F40}"/>
            </a:ext>
          </a:extLst>
        </xdr:cNvPr>
        <xdr:cNvCxnSpPr/>
      </xdr:nvCxnSpPr>
      <xdr:spPr>
        <a:xfrm>
          <a:off x="21974175" y="752348"/>
          <a:ext cx="0" cy="6248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xdr:row>
      <xdr:rowOff>76073</xdr:rowOff>
    </xdr:from>
    <xdr:to>
      <xdr:col>63</xdr:col>
      <xdr:colOff>0</xdr:colOff>
      <xdr:row>45</xdr:row>
      <xdr:rowOff>0</xdr:rowOff>
    </xdr:to>
    <xdr:cxnSp macro="">
      <xdr:nvCxnSpPr>
        <xdr:cNvPr id="14007" name="직선 화살표 연결선 14006">
          <a:extLst>
            <a:ext uri="{FF2B5EF4-FFF2-40B4-BE49-F238E27FC236}">
              <a16:creationId xmlns:a16="http://schemas.microsoft.com/office/drawing/2014/main" id="{39975F37-16AB-4932-8333-FA9695EC40B2}"/>
            </a:ext>
          </a:extLst>
        </xdr:cNvPr>
        <xdr:cNvCxnSpPr/>
      </xdr:nvCxnSpPr>
      <xdr:spPr>
        <a:xfrm>
          <a:off x="34166175" y="752348"/>
          <a:ext cx="0" cy="6248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xdr:row>
      <xdr:rowOff>76073</xdr:rowOff>
    </xdr:from>
    <xdr:to>
      <xdr:col>79</xdr:col>
      <xdr:colOff>0</xdr:colOff>
      <xdr:row>45</xdr:row>
      <xdr:rowOff>0</xdr:rowOff>
    </xdr:to>
    <xdr:cxnSp macro="">
      <xdr:nvCxnSpPr>
        <xdr:cNvPr id="14009" name="직선 화살표 연결선 14008">
          <a:extLst>
            <a:ext uri="{FF2B5EF4-FFF2-40B4-BE49-F238E27FC236}">
              <a16:creationId xmlns:a16="http://schemas.microsoft.com/office/drawing/2014/main" id="{7FCE8143-CC5A-4BBE-A63A-58054F00A559}"/>
            </a:ext>
          </a:extLst>
        </xdr:cNvPr>
        <xdr:cNvCxnSpPr/>
      </xdr:nvCxnSpPr>
      <xdr:spPr>
        <a:xfrm>
          <a:off x="46358175" y="752348"/>
          <a:ext cx="0" cy="6248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3</xdr:row>
      <xdr:rowOff>76073</xdr:rowOff>
    </xdr:from>
    <xdr:to>
      <xdr:col>95</xdr:col>
      <xdr:colOff>0</xdr:colOff>
      <xdr:row>45</xdr:row>
      <xdr:rowOff>0</xdr:rowOff>
    </xdr:to>
    <xdr:cxnSp macro="">
      <xdr:nvCxnSpPr>
        <xdr:cNvPr id="14010" name="직선 화살표 연결선 14009">
          <a:extLst>
            <a:ext uri="{FF2B5EF4-FFF2-40B4-BE49-F238E27FC236}">
              <a16:creationId xmlns:a16="http://schemas.microsoft.com/office/drawing/2014/main" id="{5EB55E88-6531-4B5A-B063-0929439C306D}"/>
            </a:ext>
          </a:extLst>
        </xdr:cNvPr>
        <xdr:cNvCxnSpPr/>
      </xdr:nvCxnSpPr>
      <xdr:spPr>
        <a:xfrm>
          <a:off x="58550175" y="752348"/>
          <a:ext cx="0" cy="62485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40821</xdr:colOff>
      <xdr:row>3</xdr:row>
      <xdr:rowOff>76073</xdr:rowOff>
    </xdr:from>
    <xdr:to>
      <xdr:col>63</xdr:col>
      <xdr:colOff>40821</xdr:colOff>
      <xdr:row>45</xdr:row>
      <xdr:rowOff>0</xdr:rowOff>
    </xdr:to>
    <xdr:cxnSp macro="">
      <xdr:nvCxnSpPr>
        <xdr:cNvPr id="14011" name="직선 화살표 연결선 14010">
          <a:extLst>
            <a:ext uri="{FF2B5EF4-FFF2-40B4-BE49-F238E27FC236}">
              <a16:creationId xmlns:a16="http://schemas.microsoft.com/office/drawing/2014/main" id="{9D27C1C7-1550-4C09-A1C9-4F950D065E43}"/>
            </a:ext>
          </a:extLst>
        </xdr:cNvPr>
        <xdr:cNvCxnSpPr/>
      </xdr:nvCxnSpPr>
      <xdr:spPr>
        <a:xfrm>
          <a:off x="14394996" y="752348"/>
          <a:ext cx="0" cy="62485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40822</xdr:colOff>
      <xdr:row>44</xdr:row>
      <xdr:rowOff>19050</xdr:rowOff>
    </xdr:from>
    <xdr:to>
      <xdr:col>67</xdr:col>
      <xdr:colOff>82913</xdr:colOff>
      <xdr:row>44</xdr:row>
      <xdr:rowOff>133350</xdr:rowOff>
    </xdr:to>
    <xdr:sp macro="" textlink="">
      <xdr:nvSpPr>
        <xdr:cNvPr id="14012" name="41">
          <a:extLst>
            <a:ext uri="{FF2B5EF4-FFF2-40B4-BE49-F238E27FC236}">
              <a16:creationId xmlns:a16="http://schemas.microsoft.com/office/drawing/2014/main" id="{0ED7EFE0-C4F4-45E7-9E6C-FA6B0372FC03}"/>
            </a:ext>
          </a:extLst>
        </xdr:cNvPr>
        <xdr:cNvSpPr/>
      </xdr:nvSpPr>
      <xdr:spPr>
        <a:xfrm>
          <a:off x="10823122" y="6867525"/>
          <a:ext cx="41854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40822</xdr:colOff>
      <xdr:row>44</xdr:row>
      <xdr:rowOff>76200</xdr:rowOff>
    </xdr:from>
    <xdr:to>
      <xdr:col>61</xdr:col>
      <xdr:colOff>102054</xdr:colOff>
      <xdr:row>44</xdr:row>
      <xdr:rowOff>76200</xdr:rowOff>
    </xdr:to>
    <xdr:cxnSp macro="">
      <xdr:nvCxnSpPr>
        <xdr:cNvPr id="14013" name="직선 화살표 연결선 14012">
          <a:extLst>
            <a:ext uri="{FF2B5EF4-FFF2-40B4-BE49-F238E27FC236}">
              <a16:creationId xmlns:a16="http://schemas.microsoft.com/office/drawing/2014/main" id="{3A2322F9-BDA7-43E7-AAFD-B4892E2C371B}"/>
            </a:ext>
          </a:extLst>
        </xdr:cNvPr>
        <xdr:cNvCxnSpPr/>
      </xdr:nvCxnSpPr>
      <xdr:spPr>
        <a:xfrm>
          <a:off x="10823122" y="6924675"/>
          <a:ext cx="33473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40822</xdr:colOff>
      <xdr:row>43</xdr:row>
      <xdr:rowOff>19050</xdr:rowOff>
    </xdr:from>
    <xdr:to>
      <xdr:col>67</xdr:col>
      <xdr:colOff>82913</xdr:colOff>
      <xdr:row>43</xdr:row>
      <xdr:rowOff>133350</xdr:rowOff>
    </xdr:to>
    <xdr:sp macro="" textlink="">
      <xdr:nvSpPr>
        <xdr:cNvPr id="14014" name="40">
          <a:extLst>
            <a:ext uri="{FF2B5EF4-FFF2-40B4-BE49-F238E27FC236}">
              <a16:creationId xmlns:a16="http://schemas.microsoft.com/office/drawing/2014/main" id="{BD24D24B-18DD-49FB-AF02-FED9E6DCC12C}"/>
            </a:ext>
          </a:extLst>
        </xdr:cNvPr>
        <xdr:cNvSpPr/>
      </xdr:nvSpPr>
      <xdr:spPr>
        <a:xfrm>
          <a:off x="10823122" y="6715125"/>
          <a:ext cx="41854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40822</xdr:colOff>
      <xdr:row>43</xdr:row>
      <xdr:rowOff>76200</xdr:rowOff>
    </xdr:from>
    <xdr:to>
      <xdr:col>61</xdr:col>
      <xdr:colOff>102054</xdr:colOff>
      <xdr:row>43</xdr:row>
      <xdr:rowOff>76200</xdr:rowOff>
    </xdr:to>
    <xdr:cxnSp macro="">
      <xdr:nvCxnSpPr>
        <xdr:cNvPr id="14015" name="직선 화살표 연결선 14014">
          <a:extLst>
            <a:ext uri="{FF2B5EF4-FFF2-40B4-BE49-F238E27FC236}">
              <a16:creationId xmlns:a16="http://schemas.microsoft.com/office/drawing/2014/main" id="{3CC649FF-42EC-4992-91B2-BF9A7C72581A}"/>
            </a:ext>
          </a:extLst>
        </xdr:cNvPr>
        <xdr:cNvCxnSpPr/>
      </xdr:nvCxnSpPr>
      <xdr:spPr>
        <a:xfrm>
          <a:off x="10823122" y="6772275"/>
          <a:ext cx="33473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40822</xdr:colOff>
      <xdr:row>42</xdr:row>
      <xdr:rowOff>19050</xdr:rowOff>
    </xdr:from>
    <xdr:to>
      <xdr:col>67</xdr:col>
      <xdr:colOff>82913</xdr:colOff>
      <xdr:row>42</xdr:row>
      <xdr:rowOff>133350</xdr:rowOff>
    </xdr:to>
    <xdr:sp macro="" textlink="">
      <xdr:nvSpPr>
        <xdr:cNvPr id="23008" name="39">
          <a:extLst>
            <a:ext uri="{FF2B5EF4-FFF2-40B4-BE49-F238E27FC236}">
              <a16:creationId xmlns:a16="http://schemas.microsoft.com/office/drawing/2014/main" id="{DAA6CEBA-E2E1-4BD8-AC05-0992841953FB}"/>
            </a:ext>
          </a:extLst>
        </xdr:cNvPr>
        <xdr:cNvSpPr/>
      </xdr:nvSpPr>
      <xdr:spPr>
        <a:xfrm>
          <a:off x="10823122" y="6562725"/>
          <a:ext cx="41854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40822</xdr:colOff>
      <xdr:row>42</xdr:row>
      <xdr:rowOff>76200</xdr:rowOff>
    </xdr:from>
    <xdr:to>
      <xdr:col>61</xdr:col>
      <xdr:colOff>102054</xdr:colOff>
      <xdr:row>42</xdr:row>
      <xdr:rowOff>76200</xdr:rowOff>
    </xdr:to>
    <xdr:cxnSp macro="">
      <xdr:nvCxnSpPr>
        <xdr:cNvPr id="23009" name="직선 화살표 연결선 23008">
          <a:extLst>
            <a:ext uri="{FF2B5EF4-FFF2-40B4-BE49-F238E27FC236}">
              <a16:creationId xmlns:a16="http://schemas.microsoft.com/office/drawing/2014/main" id="{95DFAE79-7745-4222-BDEA-8F98FA98DE0D}"/>
            </a:ext>
          </a:extLst>
        </xdr:cNvPr>
        <xdr:cNvCxnSpPr/>
      </xdr:nvCxnSpPr>
      <xdr:spPr>
        <a:xfrm>
          <a:off x="10823122" y="6619875"/>
          <a:ext cx="334735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122465</xdr:colOff>
      <xdr:row>41</xdr:row>
      <xdr:rowOff>19050</xdr:rowOff>
    </xdr:from>
    <xdr:to>
      <xdr:col>95</xdr:col>
      <xdr:colOff>42090</xdr:colOff>
      <xdr:row>41</xdr:row>
      <xdr:rowOff>133350</xdr:rowOff>
    </xdr:to>
    <xdr:sp macro="" textlink="">
      <xdr:nvSpPr>
        <xdr:cNvPr id="23010" name="38">
          <a:extLst>
            <a:ext uri="{FF2B5EF4-FFF2-40B4-BE49-F238E27FC236}">
              <a16:creationId xmlns:a16="http://schemas.microsoft.com/office/drawing/2014/main" id="{4FC69A71-45FE-4966-98FF-D688A930C2A2}"/>
            </a:ext>
          </a:extLst>
        </xdr:cNvPr>
        <xdr:cNvSpPr/>
      </xdr:nvSpPr>
      <xdr:spPr>
        <a:xfrm>
          <a:off x="11476265" y="6410325"/>
          <a:ext cx="749200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122465</xdr:colOff>
      <xdr:row>41</xdr:row>
      <xdr:rowOff>76200</xdr:rowOff>
    </xdr:from>
    <xdr:to>
      <xdr:col>74</xdr:col>
      <xdr:colOff>44903</xdr:colOff>
      <xdr:row>41</xdr:row>
      <xdr:rowOff>76200</xdr:rowOff>
    </xdr:to>
    <xdr:cxnSp macro="">
      <xdr:nvCxnSpPr>
        <xdr:cNvPr id="23011" name="직선 화살표 연결선 23010">
          <a:extLst>
            <a:ext uri="{FF2B5EF4-FFF2-40B4-BE49-F238E27FC236}">
              <a16:creationId xmlns:a16="http://schemas.microsoft.com/office/drawing/2014/main" id="{38BD5FB1-5132-4D68-B3F0-CA3C96C2AC2E}"/>
            </a:ext>
          </a:extLst>
        </xdr:cNvPr>
        <xdr:cNvCxnSpPr/>
      </xdr:nvCxnSpPr>
      <xdr:spPr>
        <a:xfrm>
          <a:off x="11476265" y="6467475"/>
          <a:ext cx="44944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102053</xdr:colOff>
      <xdr:row>40</xdr:row>
      <xdr:rowOff>19050</xdr:rowOff>
    </xdr:from>
    <xdr:to>
      <xdr:col>95</xdr:col>
      <xdr:colOff>42090</xdr:colOff>
      <xdr:row>40</xdr:row>
      <xdr:rowOff>133350</xdr:rowOff>
    </xdr:to>
    <xdr:sp macro="" textlink="">
      <xdr:nvSpPr>
        <xdr:cNvPr id="23012" name="37">
          <a:extLst>
            <a:ext uri="{FF2B5EF4-FFF2-40B4-BE49-F238E27FC236}">
              <a16:creationId xmlns:a16="http://schemas.microsoft.com/office/drawing/2014/main" id="{9FD60F67-62C6-44D8-96B1-58EA69CC5944}"/>
            </a:ext>
          </a:extLst>
        </xdr:cNvPr>
        <xdr:cNvSpPr/>
      </xdr:nvSpPr>
      <xdr:spPr>
        <a:xfrm>
          <a:off x="11455853" y="6257925"/>
          <a:ext cx="7512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102053</xdr:colOff>
      <xdr:row>40</xdr:row>
      <xdr:rowOff>76200</xdr:rowOff>
    </xdr:from>
    <xdr:to>
      <xdr:col>79</xdr:col>
      <xdr:colOff>73478</xdr:colOff>
      <xdr:row>40</xdr:row>
      <xdr:rowOff>76200</xdr:rowOff>
    </xdr:to>
    <xdr:cxnSp macro="">
      <xdr:nvCxnSpPr>
        <xdr:cNvPr id="23013" name="직선 화살표 연결선 23012">
          <a:extLst>
            <a:ext uri="{FF2B5EF4-FFF2-40B4-BE49-F238E27FC236}">
              <a16:creationId xmlns:a16="http://schemas.microsoft.com/office/drawing/2014/main" id="{CBAE5EE6-6345-4247-87F1-EFBB48F4B393}"/>
            </a:ext>
          </a:extLst>
        </xdr:cNvPr>
        <xdr:cNvCxnSpPr/>
      </xdr:nvCxnSpPr>
      <xdr:spPr>
        <a:xfrm>
          <a:off x="11455853" y="6315075"/>
          <a:ext cx="5257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102053</xdr:colOff>
      <xdr:row>39</xdr:row>
      <xdr:rowOff>19050</xdr:rowOff>
    </xdr:from>
    <xdr:to>
      <xdr:col>95</xdr:col>
      <xdr:colOff>42090</xdr:colOff>
      <xdr:row>39</xdr:row>
      <xdr:rowOff>133350</xdr:rowOff>
    </xdr:to>
    <xdr:sp macro="" textlink="">
      <xdr:nvSpPr>
        <xdr:cNvPr id="23014" name="36">
          <a:extLst>
            <a:ext uri="{FF2B5EF4-FFF2-40B4-BE49-F238E27FC236}">
              <a16:creationId xmlns:a16="http://schemas.microsoft.com/office/drawing/2014/main" id="{1DF8BB61-EEF2-41A3-ADD6-2836FD0C2EC8}"/>
            </a:ext>
          </a:extLst>
        </xdr:cNvPr>
        <xdr:cNvSpPr/>
      </xdr:nvSpPr>
      <xdr:spPr>
        <a:xfrm>
          <a:off x="11455853" y="6105525"/>
          <a:ext cx="7512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102053</xdr:colOff>
      <xdr:row>39</xdr:row>
      <xdr:rowOff>76200</xdr:rowOff>
    </xdr:from>
    <xdr:to>
      <xdr:col>76</xdr:col>
      <xdr:colOff>127296</xdr:colOff>
      <xdr:row>39</xdr:row>
      <xdr:rowOff>76200</xdr:rowOff>
    </xdr:to>
    <xdr:cxnSp macro="">
      <xdr:nvCxnSpPr>
        <xdr:cNvPr id="23015" name="직선 화살표 연결선 23014">
          <a:extLst>
            <a:ext uri="{FF2B5EF4-FFF2-40B4-BE49-F238E27FC236}">
              <a16:creationId xmlns:a16="http://schemas.microsoft.com/office/drawing/2014/main" id="{EE5DBB70-F1FD-47AA-9CCF-848C288A2F84}"/>
            </a:ext>
          </a:extLst>
        </xdr:cNvPr>
        <xdr:cNvCxnSpPr/>
      </xdr:nvCxnSpPr>
      <xdr:spPr>
        <a:xfrm>
          <a:off x="11455853" y="6162675"/>
          <a:ext cx="488299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81643</xdr:colOff>
      <xdr:row>38</xdr:row>
      <xdr:rowOff>19050</xdr:rowOff>
    </xdr:from>
    <xdr:to>
      <xdr:col>67</xdr:col>
      <xdr:colOff>82913</xdr:colOff>
      <xdr:row>38</xdr:row>
      <xdr:rowOff>133350</xdr:rowOff>
    </xdr:to>
    <xdr:sp macro="" textlink="">
      <xdr:nvSpPr>
        <xdr:cNvPr id="23016" name="35">
          <a:extLst>
            <a:ext uri="{FF2B5EF4-FFF2-40B4-BE49-F238E27FC236}">
              <a16:creationId xmlns:a16="http://schemas.microsoft.com/office/drawing/2014/main" id="{E4C1BB13-B6A3-4D07-8B0C-1B64130CEDD4}"/>
            </a:ext>
          </a:extLst>
        </xdr:cNvPr>
        <xdr:cNvSpPr/>
      </xdr:nvSpPr>
      <xdr:spPr>
        <a:xfrm>
          <a:off x="11435443" y="5953125"/>
          <a:ext cx="3573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81643</xdr:colOff>
      <xdr:row>38</xdr:row>
      <xdr:rowOff>76200</xdr:rowOff>
    </xdr:from>
    <xdr:to>
      <xdr:col>58</xdr:col>
      <xdr:colOff>117362</xdr:colOff>
      <xdr:row>38</xdr:row>
      <xdr:rowOff>76200</xdr:rowOff>
    </xdr:to>
    <xdr:cxnSp macro="">
      <xdr:nvCxnSpPr>
        <xdr:cNvPr id="23017" name="직선 화살표 연결선 23016">
          <a:extLst>
            <a:ext uri="{FF2B5EF4-FFF2-40B4-BE49-F238E27FC236}">
              <a16:creationId xmlns:a16="http://schemas.microsoft.com/office/drawing/2014/main" id="{603E4461-D106-4306-A086-F1B10D618A9C}"/>
            </a:ext>
          </a:extLst>
        </xdr:cNvPr>
        <xdr:cNvCxnSpPr/>
      </xdr:nvCxnSpPr>
      <xdr:spPr>
        <a:xfrm>
          <a:off x="11435443" y="6010275"/>
          <a:ext cx="232171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81643</xdr:colOff>
      <xdr:row>37</xdr:row>
      <xdr:rowOff>19050</xdr:rowOff>
    </xdr:from>
    <xdr:to>
      <xdr:col>67</xdr:col>
      <xdr:colOff>82913</xdr:colOff>
      <xdr:row>37</xdr:row>
      <xdr:rowOff>133350</xdr:rowOff>
    </xdr:to>
    <xdr:sp macro="" textlink="">
      <xdr:nvSpPr>
        <xdr:cNvPr id="23018" name="34">
          <a:extLst>
            <a:ext uri="{FF2B5EF4-FFF2-40B4-BE49-F238E27FC236}">
              <a16:creationId xmlns:a16="http://schemas.microsoft.com/office/drawing/2014/main" id="{C8C3655F-EA7A-469B-8EBB-A9184C4EB977}"/>
            </a:ext>
          </a:extLst>
        </xdr:cNvPr>
        <xdr:cNvSpPr/>
      </xdr:nvSpPr>
      <xdr:spPr>
        <a:xfrm>
          <a:off x="11435443" y="5800725"/>
          <a:ext cx="3573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81643</xdr:colOff>
      <xdr:row>37</xdr:row>
      <xdr:rowOff>76200</xdr:rowOff>
    </xdr:from>
    <xdr:to>
      <xdr:col>60</xdr:col>
      <xdr:colOff>81643</xdr:colOff>
      <xdr:row>37</xdr:row>
      <xdr:rowOff>76200</xdr:rowOff>
    </xdr:to>
    <xdr:cxnSp macro="">
      <xdr:nvCxnSpPr>
        <xdr:cNvPr id="23019" name="직선 화살표 연결선 23018">
          <a:extLst>
            <a:ext uri="{FF2B5EF4-FFF2-40B4-BE49-F238E27FC236}">
              <a16:creationId xmlns:a16="http://schemas.microsoft.com/office/drawing/2014/main" id="{0F7F5C81-1686-4B65-9892-70A485FB0360}"/>
            </a:ext>
          </a:extLst>
        </xdr:cNvPr>
        <xdr:cNvCxnSpPr/>
      </xdr:nvCxnSpPr>
      <xdr:spPr>
        <a:xfrm>
          <a:off x="11435443" y="5857875"/>
          <a:ext cx="2571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81643</xdr:colOff>
      <xdr:row>36</xdr:row>
      <xdr:rowOff>19050</xdr:rowOff>
    </xdr:from>
    <xdr:to>
      <xdr:col>67</xdr:col>
      <xdr:colOff>82913</xdr:colOff>
      <xdr:row>36</xdr:row>
      <xdr:rowOff>133350</xdr:rowOff>
    </xdr:to>
    <xdr:sp macro="" textlink="">
      <xdr:nvSpPr>
        <xdr:cNvPr id="23020" name="33">
          <a:extLst>
            <a:ext uri="{FF2B5EF4-FFF2-40B4-BE49-F238E27FC236}">
              <a16:creationId xmlns:a16="http://schemas.microsoft.com/office/drawing/2014/main" id="{9C6AAB4E-1F82-4270-9291-B073E8958D9C}"/>
            </a:ext>
          </a:extLst>
        </xdr:cNvPr>
        <xdr:cNvSpPr/>
      </xdr:nvSpPr>
      <xdr:spPr>
        <a:xfrm>
          <a:off x="11435443" y="5648325"/>
          <a:ext cx="3573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81643</xdr:colOff>
      <xdr:row>36</xdr:row>
      <xdr:rowOff>76200</xdr:rowOff>
    </xdr:from>
    <xdr:to>
      <xdr:col>59</xdr:col>
      <xdr:colOff>99502</xdr:colOff>
      <xdr:row>36</xdr:row>
      <xdr:rowOff>76200</xdr:rowOff>
    </xdr:to>
    <xdr:cxnSp macro="">
      <xdr:nvCxnSpPr>
        <xdr:cNvPr id="23021" name="직선 화살표 연결선 23020">
          <a:extLst>
            <a:ext uri="{FF2B5EF4-FFF2-40B4-BE49-F238E27FC236}">
              <a16:creationId xmlns:a16="http://schemas.microsoft.com/office/drawing/2014/main" id="{901C260B-9D55-485C-AC6B-79B2C3104A2A}"/>
            </a:ext>
          </a:extLst>
        </xdr:cNvPr>
        <xdr:cNvCxnSpPr/>
      </xdr:nvCxnSpPr>
      <xdr:spPr>
        <a:xfrm>
          <a:off x="11435443" y="5705475"/>
          <a:ext cx="24467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81643</xdr:colOff>
      <xdr:row>35</xdr:row>
      <xdr:rowOff>19050</xdr:rowOff>
    </xdr:from>
    <xdr:to>
      <xdr:col>95</xdr:col>
      <xdr:colOff>42090</xdr:colOff>
      <xdr:row>35</xdr:row>
      <xdr:rowOff>133350</xdr:rowOff>
    </xdr:to>
    <xdr:sp macro="" textlink="">
      <xdr:nvSpPr>
        <xdr:cNvPr id="23022" name="32">
          <a:extLst>
            <a:ext uri="{FF2B5EF4-FFF2-40B4-BE49-F238E27FC236}">
              <a16:creationId xmlns:a16="http://schemas.microsoft.com/office/drawing/2014/main" id="{871C32BB-9CAA-4EA8-82A4-62A4BAB491B4}"/>
            </a:ext>
          </a:extLst>
        </xdr:cNvPr>
        <xdr:cNvSpPr/>
      </xdr:nvSpPr>
      <xdr:spPr>
        <a:xfrm>
          <a:off x="11435443" y="5495925"/>
          <a:ext cx="753282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81643</xdr:colOff>
      <xdr:row>35</xdr:row>
      <xdr:rowOff>76200</xdr:rowOff>
    </xdr:from>
    <xdr:to>
      <xdr:col>77</xdr:col>
      <xdr:colOff>61449</xdr:colOff>
      <xdr:row>35</xdr:row>
      <xdr:rowOff>76200</xdr:rowOff>
    </xdr:to>
    <xdr:cxnSp macro="">
      <xdr:nvCxnSpPr>
        <xdr:cNvPr id="23023" name="직선 화살표 연결선 23022">
          <a:extLst>
            <a:ext uri="{FF2B5EF4-FFF2-40B4-BE49-F238E27FC236}">
              <a16:creationId xmlns:a16="http://schemas.microsoft.com/office/drawing/2014/main" id="{61730B69-0723-4094-9863-10E1685894DB}"/>
            </a:ext>
          </a:extLst>
        </xdr:cNvPr>
        <xdr:cNvCxnSpPr/>
      </xdr:nvCxnSpPr>
      <xdr:spPr>
        <a:xfrm>
          <a:off x="11435443" y="5553075"/>
          <a:ext cx="49804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34</xdr:row>
      <xdr:rowOff>19050</xdr:rowOff>
    </xdr:from>
    <xdr:to>
      <xdr:col>67</xdr:col>
      <xdr:colOff>82913</xdr:colOff>
      <xdr:row>34</xdr:row>
      <xdr:rowOff>133350</xdr:rowOff>
    </xdr:to>
    <xdr:sp macro="" textlink="">
      <xdr:nvSpPr>
        <xdr:cNvPr id="23024" name="31">
          <a:extLst>
            <a:ext uri="{FF2B5EF4-FFF2-40B4-BE49-F238E27FC236}">
              <a16:creationId xmlns:a16="http://schemas.microsoft.com/office/drawing/2014/main" id="{1628F3B7-72D1-4C67-BFBC-6CEA4C0B7213}"/>
            </a:ext>
          </a:extLst>
        </xdr:cNvPr>
        <xdr:cNvSpPr/>
      </xdr:nvSpPr>
      <xdr:spPr>
        <a:xfrm>
          <a:off x="14088836" y="5343525"/>
          <a:ext cx="9197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34</xdr:row>
      <xdr:rowOff>76200</xdr:rowOff>
    </xdr:from>
    <xdr:to>
      <xdr:col>65</xdr:col>
      <xdr:colOff>0</xdr:colOff>
      <xdr:row>34</xdr:row>
      <xdr:rowOff>76200</xdr:rowOff>
    </xdr:to>
    <xdr:cxnSp macro="">
      <xdr:nvCxnSpPr>
        <xdr:cNvPr id="23025" name="직선 화살표 연결선 23024">
          <a:extLst>
            <a:ext uri="{FF2B5EF4-FFF2-40B4-BE49-F238E27FC236}">
              <a16:creationId xmlns:a16="http://schemas.microsoft.com/office/drawing/2014/main" id="{540277ED-5257-4C43-841E-2C60C2BE315C}"/>
            </a:ext>
          </a:extLst>
        </xdr:cNvPr>
        <xdr:cNvCxnSpPr/>
      </xdr:nvCxnSpPr>
      <xdr:spPr>
        <a:xfrm>
          <a:off x="14088836" y="5400675"/>
          <a:ext cx="5510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33</xdr:row>
      <xdr:rowOff>19050</xdr:rowOff>
    </xdr:from>
    <xdr:to>
      <xdr:col>67</xdr:col>
      <xdr:colOff>82913</xdr:colOff>
      <xdr:row>33</xdr:row>
      <xdr:rowOff>133350</xdr:rowOff>
    </xdr:to>
    <xdr:sp macro="" textlink="">
      <xdr:nvSpPr>
        <xdr:cNvPr id="23026" name="30">
          <a:extLst>
            <a:ext uri="{FF2B5EF4-FFF2-40B4-BE49-F238E27FC236}">
              <a16:creationId xmlns:a16="http://schemas.microsoft.com/office/drawing/2014/main" id="{CC9CB5C7-E21C-4C87-8A50-D9BD2E02BA09}"/>
            </a:ext>
          </a:extLst>
        </xdr:cNvPr>
        <xdr:cNvSpPr/>
      </xdr:nvSpPr>
      <xdr:spPr>
        <a:xfrm>
          <a:off x="14088836" y="5191125"/>
          <a:ext cx="9197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33</xdr:row>
      <xdr:rowOff>76200</xdr:rowOff>
    </xdr:from>
    <xdr:to>
      <xdr:col>66</xdr:col>
      <xdr:colOff>86745</xdr:colOff>
      <xdr:row>33</xdr:row>
      <xdr:rowOff>76200</xdr:rowOff>
    </xdr:to>
    <xdr:cxnSp macro="">
      <xdr:nvCxnSpPr>
        <xdr:cNvPr id="23027" name="직선 화살표 연결선 23026">
          <a:extLst>
            <a:ext uri="{FF2B5EF4-FFF2-40B4-BE49-F238E27FC236}">
              <a16:creationId xmlns:a16="http://schemas.microsoft.com/office/drawing/2014/main" id="{BCC40A07-EED1-4B50-BF43-8EFFA707B012}"/>
            </a:ext>
          </a:extLst>
        </xdr:cNvPr>
        <xdr:cNvCxnSpPr/>
      </xdr:nvCxnSpPr>
      <xdr:spPr>
        <a:xfrm>
          <a:off x="14088836" y="5248275"/>
          <a:ext cx="7807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32</xdr:row>
      <xdr:rowOff>19050</xdr:rowOff>
    </xdr:from>
    <xdr:to>
      <xdr:col>67</xdr:col>
      <xdr:colOff>82913</xdr:colOff>
      <xdr:row>32</xdr:row>
      <xdr:rowOff>133350</xdr:rowOff>
    </xdr:to>
    <xdr:sp macro="" textlink="">
      <xdr:nvSpPr>
        <xdr:cNvPr id="23028" name="29">
          <a:extLst>
            <a:ext uri="{FF2B5EF4-FFF2-40B4-BE49-F238E27FC236}">
              <a16:creationId xmlns:a16="http://schemas.microsoft.com/office/drawing/2014/main" id="{BA32A219-AE3B-47DA-A705-FA9B4F3E1B77}"/>
            </a:ext>
          </a:extLst>
        </xdr:cNvPr>
        <xdr:cNvSpPr/>
      </xdr:nvSpPr>
      <xdr:spPr>
        <a:xfrm>
          <a:off x="14088836" y="5038725"/>
          <a:ext cx="9197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32</xdr:row>
      <xdr:rowOff>76200</xdr:rowOff>
    </xdr:from>
    <xdr:to>
      <xdr:col>66</xdr:col>
      <xdr:colOff>40822</xdr:colOff>
      <xdr:row>32</xdr:row>
      <xdr:rowOff>76200</xdr:rowOff>
    </xdr:to>
    <xdr:cxnSp macro="">
      <xdr:nvCxnSpPr>
        <xdr:cNvPr id="23029" name="직선 화살표 연결선 23028">
          <a:extLst>
            <a:ext uri="{FF2B5EF4-FFF2-40B4-BE49-F238E27FC236}">
              <a16:creationId xmlns:a16="http://schemas.microsoft.com/office/drawing/2014/main" id="{7E3D1D8E-2EA4-4E1B-9213-95D2E2A4AA78}"/>
            </a:ext>
          </a:extLst>
        </xdr:cNvPr>
        <xdr:cNvCxnSpPr/>
      </xdr:nvCxnSpPr>
      <xdr:spPr>
        <a:xfrm>
          <a:off x="14088836" y="5095875"/>
          <a:ext cx="7347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31</xdr:row>
      <xdr:rowOff>19050</xdr:rowOff>
    </xdr:from>
    <xdr:to>
      <xdr:col>67</xdr:col>
      <xdr:colOff>82913</xdr:colOff>
      <xdr:row>31</xdr:row>
      <xdr:rowOff>133350</xdr:rowOff>
    </xdr:to>
    <xdr:sp macro="" textlink="">
      <xdr:nvSpPr>
        <xdr:cNvPr id="23030" name="28">
          <a:extLst>
            <a:ext uri="{FF2B5EF4-FFF2-40B4-BE49-F238E27FC236}">
              <a16:creationId xmlns:a16="http://schemas.microsoft.com/office/drawing/2014/main" id="{2CBE0320-AE6B-4E0D-917B-20A844669A02}"/>
            </a:ext>
          </a:extLst>
        </xdr:cNvPr>
        <xdr:cNvSpPr/>
      </xdr:nvSpPr>
      <xdr:spPr>
        <a:xfrm>
          <a:off x="14088836" y="4886325"/>
          <a:ext cx="9197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31</xdr:row>
      <xdr:rowOff>76200</xdr:rowOff>
    </xdr:from>
    <xdr:to>
      <xdr:col>65</xdr:col>
      <xdr:colOff>91849</xdr:colOff>
      <xdr:row>31</xdr:row>
      <xdr:rowOff>76200</xdr:rowOff>
    </xdr:to>
    <xdr:cxnSp macro="">
      <xdr:nvCxnSpPr>
        <xdr:cNvPr id="23031" name="직선 화살표 연결선 23030">
          <a:extLst>
            <a:ext uri="{FF2B5EF4-FFF2-40B4-BE49-F238E27FC236}">
              <a16:creationId xmlns:a16="http://schemas.microsoft.com/office/drawing/2014/main" id="{223BC9E0-1074-4BF0-9234-F591F4F0371A}"/>
            </a:ext>
          </a:extLst>
        </xdr:cNvPr>
        <xdr:cNvCxnSpPr/>
      </xdr:nvCxnSpPr>
      <xdr:spPr>
        <a:xfrm>
          <a:off x="14088836" y="4943475"/>
          <a:ext cx="6429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30</xdr:row>
      <xdr:rowOff>19050</xdr:rowOff>
    </xdr:from>
    <xdr:to>
      <xdr:col>67</xdr:col>
      <xdr:colOff>82913</xdr:colOff>
      <xdr:row>30</xdr:row>
      <xdr:rowOff>133350</xdr:rowOff>
    </xdr:to>
    <xdr:sp macro="" textlink="">
      <xdr:nvSpPr>
        <xdr:cNvPr id="23032" name="27">
          <a:extLst>
            <a:ext uri="{FF2B5EF4-FFF2-40B4-BE49-F238E27FC236}">
              <a16:creationId xmlns:a16="http://schemas.microsoft.com/office/drawing/2014/main" id="{97BA78F9-1761-4D83-8CF3-34DD3464CB00}"/>
            </a:ext>
          </a:extLst>
        </xdr:cNvPr>
        <xdr:cNvSpPr/>
      </xdr:nvSpPr>
      <xdr:spPr>
        <a:xfrm>
          <a:off x="14088836" y="4733925"/>
          <a:ext cx="9197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30</xdr:row>
      <xdr:rowOff>76200</xdr:rowOff>
    </xdr:from>
    <xdr:to>
      <xdr:col>65</xdr:col>
      <xdr:colOff>126292</xdr:colOff>
      <xdr:row>30</xdr:row>
      <xdr:rowOff>76200</xdr:rowOff>
    </xdr:to>
    <xdr:cxnSp macro="">
      <xdr:nvCxnSpPr>
        <xdr:cNvPr id="23034" name="직선 화살표 연결선 23033">
          <a:extLst>
            <a:ext uri="{FF2B5EF4-FFF2-40B4-BE49-F238E27FC236}">
              <a16:creationId xmlns:a16="http://schemas.microsoft.com/office/drawing/2014/main" id="{62207133-5999-439A-B0EA-0ED41CE2B4EB}"/>
            </a:ext>
          </a:extLst>
        </xdr:cNvPr>
        <xdr:cNvCxnSpPr/>
      </xdr:nvCxnSpPr>
      <xdr:spPr>
        <a:xfrm>
          <a:off x="14088836" y="4791075"/>
          <a:ext cx="6773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29</xdr:row>
      <xdr:rowOff>19050</xdr:rowOff>
    </xdr:from>
    <xdr:to>
      <xdr:col>67</xdr:col>
      <xdr:colOff>82913</xdr:colOff>
      <xdr:row>29</xdr:row>
      <xdr:rowOff>133350</xdr:rowOff>
    </xdr:to>
    <xdr:sp macro="" textlink="">
      <xdr:nvSpPr>
        <xdr:cNvPr id="23035" name="26">
          <a:extLst>
            <a:ext uri="{FF2B5EF4-FFF2-40B4-BE49-F238E27FC236}">
              <a16:creationId xmlns:a16="http://schemas.microsoft.com/office/drawing/2014/main" id="{66286838-C56E-4EC5-8EFC-6FC4AEC047B7}"/>
            </a:ext>
          </a:extLst>
        </xdr:cNvPr>
        <xdr:cNvSpPr/>
      </xdr:nvSpPr>
      <xdr:spPr>
        <a:xfrm>
          <a:off x="14088836" y="4581525"/>
          <a:ext cx="9197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29</xdr:row>
      <xdr:rowOff>76200</xdr:rowOff>
    </xdr:from>
    <xdr:to>
      <xdr:col>63</xdr:col>
      <xdr:colOff>10206</xdr:colOff>
      <xdr:row>29</xdr:row>
      <xdr:rowOff>76200</xdr:rowOff>
    </xdr:to>
    <xdr:cxnSp macro="">
      <xdr:nvCxnSpPr>
        <xdr:cNvPr id="23036" name="직선 화살표 연결선 23035">
          <a:extLst>
            <a:ext uri="{FF2B5EF4-FFF2-40B4-BE49-F238E27FC236}">
              <a16:creationId xmlns:a16="http://schemas.microsoft.com/office/drawing/2014/main" id="{AA603F25-AE4A-417A-9A70-B03A089A3DD0}"/>
            </a:ext>
          </a:extLst>
        </xdr:cNvPr>
        <xdr:cNvCxnSpPr/>
      </xdr:nvCxnSpPr>
      <xdr:spPr>
        <a:xfrm>
          <a:off x="14088836" y="4638675"/>
          <a:ext cx="2755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28</xdr:row>
      <xdr:rowOff>19050</xdr:rowOff>
    </xdr:from>
    <xdr:to>
      <xdr:col>67</xdr:col>
      <xdr:colOff>82913</xdr:colOff>
      <xdr:row>28</xdr:row>
      <xdr:rowOff>133350</xdr:rowOff>
    </xdr:to>
    <xdr:sp macro="" textlink="">
      <xdr:nvSpPr>
        <xdr:cNvPr id="23037" name="25">
          <a:extLst>
            <a:ext uri="{FF2B5EF4-FFF2-40B4-BE49-F238E27FC236}">
              <a16:creationId xmlns:a16="http://schemas.microsoft.com/office/drawing/2014/main" id="{D04D1B19-4138-4833-8BF2-5292791F890A}"/>
            </a:ext>
          </a:extLst>
        </xdr:cNvPr>
        <xdr:cNvSpPr/>
      </xdr:nvSpPr>
      <xdr:spPr>
        <a:xfrm>
          <a:off x="14088836" y="4429125"/>
          <a:ext cx="9197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28</xdr:row>
      <xdr:rowOff>76200</xdr:rowOff>
    </xdr:from>
    <xdr:to>
      <xdr:col>65</xdr:col>
      <xdr:colOff>45924</xdr:colOff>
      <xdr:row>28</xdr:row>
      <xdr:rowOff>76200</xdr:rowOff>
    </xdr:to>
    <xdr:cxnSp macro="">
      <xdr:nvCxnSpPr>
        <xdr:cNvPr id="23039" name="직선 화살표 연결선 23038">
          <a:extLst>
            <a:ext uri="{FF2B5EF4-FFF2-40B4-BE49-F238E27FC236}">
              <a16:creationId xmlns:a16="http://schemas.microsoft.com/office/drawing/2014/main" id="{5884642F-1760-41A7-B2B9-C91C2D2D0689}"/>
            </a:ext>
          </a:extLst>
        </xdr:cNvPr>
        <xdr:cNvCxnSpPr/>
      </xdr:nvCxnSpPr>
      <xdr:spPr>
        <a:xfrm>
          <a:off x="14088836" y="4486275"/>
          <a:ext cx="5970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27</xdr:row>
      <xdr:rowOff>19050</xdr:rowOff>
    </xdr:from>
    <xdr:to>
      <xdr:col>67</xdr:col>
      <xdr:colOff>82913</xdr:colOff>
      <xdr:row>27</xdr:row>
      <xdr:rowOff>133350</xdr:rowOff>
    </xdr:to>
    <xdr:sp macro="" textlink="">
      <xdr:nvSpPr>
        <xdr:cNvPr id="26144" name="24">
          <a:extLst>
            <a:ext uri="{FF2B5EF4-FFF2-40B4-BE49-F238E27FC236}">
              <a16:creationId xmlns:a16="http://schemas.microsoft.com/office/drawing/2014/main" id="{4C12851B-21C3-4D39-8E65-B1963FF02A3A}"/>
            </a:ext>
          </a:extLst>
        </xdr:cNvPr>
        <xdr:cNvSpPr/>
      </xdr:nvSpPr>
      <xdr:spPr>
        <a:xfrm>
          <a:off x="14088836" y="4276725"/>
          <a:ext cx="9197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27</xdr:row>
      <xdr:rowOff>76200</xdr:rowOff>
    </xdr:from>
    <xdr:to>
      <xdr:col>64</xdr:col>
      <xdr:colOff>96951</xdr:colOff>
      <xdr:row>27</xdr:row>
      <xdr:rowOff>76200</xdr:rowOff>
    </xdr:to>
    <xdr:cxnSp macro="">
      <xdr:nvCxnSpPr>
        <xdr:cNvPr id="26145" name="직선 화살표 연결선 26144">
          <a:extLst>
            <a:ext uri="{FF2B5EF4-FFF2-40B4-BE49-F238E27FC236}">
              <a16:creationId xmlns:a16="http://schemas.microsoft.com/office/drawing/2014/main" id="{7C31E08C-34CF-4B2F-A628-B2F168ECF152}"/>
            </a:ext>
          </a:extLst>
        </xdr:cNvPr>
        <xdr:cNvCxnSpPr/>
      </xdr:nvCxnSpPr>
      <xdr:spPr>
        <a:xfrm>
          <a:off x="14088836" y="4333875"/>
          <a:ext cx="5051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26</xdr:row>
      <xdr:rowOff>19050</xdr:rowOff>
    </xdr:from>
    <xdr:to>
      <xdr:col>67</xdr:col>
      <xdr:colOff>82913</xdr:colOff>
      <xdr:row>26</xdr:row>
      <xdr:rowOff>133350</xdr:rowOff>
    </xdr:to>
    <xdr:sp macro="" textlink="">
      <xdr:nvSpPr>
        <xdr:cNvPr id="26146" name="23">
          <a:extLst>
            <a:ext uri="{FF2B5EF4-FFF2-40B4-BE49-F238E27FC236}">
              <a16:creationId xmlns:a16="http://schemas.microsoft.com/office/drawing/2014/main" id="{A43949D3-7932-402F-A7EC-8E8EB1B2E661}"/>
            </a:ext>
          </a:extLst>
        </xdr:cNvPr>
        <xdr:cNvSpPr/>
      </xdr:nvSpPr>
      <xdr:spPr>
        <a:xfrm>
          <a:off x="14088836" y="4124325"/>
          <a:ext cx="9197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26</xdr:row>
      <xdr:rowOff>76200</xdr:rowOff>
    </xdr:from>
    <xdr:to>
      <xdr:col>64</xdr:col>
      <xdr:colOff>5104</xdr:colOff>
      <xdr:row>26</xdr:row>
      <xdr:rowOff>76200</xdr:rowOff>
    </xdr:to>
    <xdr:cxnSp macro="">
      <xdr:nvCxnSpPr>
        <xdr:cNvPr id="26147" name="직선 화살표 연결선 26146">
          <a:extLst>
            <a:ext uri="{FF2B5EF4-FFF2-40B4-BE49-F238E27FC236}">
              <a16:creationId xmlns:a16="http://schemas.microsoft.com/office/drawing/2014/main" id="{D1ED9823-B1B1-4FD7-9DBE-76CC12C35FFE}"/>
            </a:ext>
          </a:extLst>
        </xdr:cNvPr>
        <xdr:cNvCxnSpPr/>
      </xdr:nvCxnSpPr>
      <xdr:spPr>
        <a:xfrm>
          <a:off x="14088836" y="4181475"/>
          <a:ext cx="4133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25</xdr:row>
      <xdr:rowOff>19050</xdr:rowOff>
    </xdr:from>
    <xdr:to>
      <xdr:col>67</xdr:col>
      <xdr:colOff>82913</xdr:colOff>
      <xdr:row>25</xdr:row>
      <xdr:rowOff>133350</xdr:rowOff>
    </xdr:to>
    <xdr:sp macro="" textlink="">
      <xdr:nvSpPr>
        <xdr:cNvPr id="26148" name="22">
          <a:extLst>
            <a:ext uri="{FF2B5EF4-FFF2-40B4-BE49-F238E27FC236}">
              <a16:creationId xmlns:a16="http://schemas.microsoft.com/office/drawing/2014/main" id="{B382A60A-56CA-4D3C-A8A0-7E3ED0B7318E}"/>
            </a:ext>
          </a:extLst>
        </xdr:cNvPr>
        <xdr:cNvSpPr/>
      </xdr:nvSpPr>
      <xdr:spPr>
        <a:xfrm>
          <a:off x="14088836" y="3971925"/>
          <a:ext cx="9197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25</xdr:row>
      <xdr:rowOff>76200</xdr:rowOff>
    </xdr:from>
    <xdr:to>
      <xdr:col>65</xdr:col>
      <xdr:colOff>73479</xdr:colOff>
      <xdr:row>25</xdr:row>
      <xdr:rowOff>76200</xdr:rowOff>
    </xdr:to>
    <xdr:cxnSp macro="">
      <xdr:nvCxnSpPr>
        <xdr:cNvPr id="26149" name="직선 화살표 연결선 26148">
          <a:extLst>
            <a:ext uri="{FF2B5EF4-FFF2-40B4-BE49-F238E27FC236}">
              <a16:creationId xmlns:a16="http://schemas.microsoft.com/office/drawing/2014/main" id="{A193B32D-977C-42FC-B4E7-1A14F6757053}"/>
            </a:ext>
          </a:extLst>
        </xdr:cNvPr>
        <xdr:cNvCxnSpPr/>
      </xdr:nvCxnSpPr>
      <xdr:spPr>
        <a:xfrm>
          <a:off x="14088836" y="4029075"/>
          <a:ext cx="6245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24</xdr:row>
      <xdr:rowOff>19050</xdr:rowOff>
    </xdr:from>
    <xdr:to>
      <xdr:col>67</xdr:col>
      <xdr:colOff>82913</xdr:colOff>
      <xdr:row>24</xdr:row>
      <xdr:rowOff>133350</xdr:rowOff>
    </xdr:to>
    <xdr:sp macro="" textlink="">
      <xdr:nvSpPr>
        <xdr:cNvPr id="26150" name="21">
          <a:extLst>
            <a:ext uri="{FF2B5EF4-FFF2-40B4-BE49-F238E27FC236}">
              <a16:creationId xmlns:a16="http://schemas.microsoft.com/office/drawing/2014/main" id="{C210CC6D-8079-478A-A934-EFDC50EE1E27}"/>
            </a:ext>
          </a:extLst>
        </xdr:cNvPr>
        <xdr:cNvSpPr/>
      </xdr:nvSpPr>
      <xdr:spPr>
        <a:xfrm>
          <a:off x="14088836" y="3819525"/>
          <a:ext cx="9197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24</xdr:row>
      <xdr:rowOff>76200</xdr:rowOff>
    </xdr:from>
    <xdr:to>
      <xdr:col>64</xdr:col>
      <xdr:colOff>106136</xdr:colOff>
      <xdr:row>24</xdr:row>
      <xdr:rowOff>76200</xdr:rowOff>
    </xdr:to>
    <xdr:cxnSp macro="">
      <xdr:nvCxnSpPr>
        <xdr:cNvPr id="26151" name="직선 화살표 연결선 26150">
          <a:extLst>
            <a:ext uri="{FF2B5EF4-FFF2-40B4-BE49-F238E27FC236}">
              <a16:creationId xmlns:a16="http://schemas.microsoft.com/office/drawing/2014/main" id="{CA6D1BED-E407-4119-B56C-A1B546A111CF}"/>
            </a:ext>
          </a:extLst>
        </xdr:cNvPr>
        <xdr:cNvCxnSpPr/>
      </xdr:nvCxnSpPr>
      <xdr:spPr>
        <a:xfrm>
          <a:off x="14088836" y="3876675"/>
          <a:ext cx="514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23</xdr:row>
      <xdr:rowOff>19050</xdr:rowOff>
    </xdr:from>
    <xdr:to>
      <xdr:col>67</xdr:col>
      <xdr:colOff>82913</xdr:colOff>
      <xdr:row>23</xdr:row>
      <xdr:rowOff>133350</xdr:rowOff>
    </xdr:to>
    <xdr:sp macro="" textlink="">
      <xdr:nvSpPr>
        <xdr:cNvPr id="26152" name="20">
          <a:extLst>
            <a:ext uri="{FF2B5EF4-FFF2-40B4-BE49-F238E27FC236}">
              <a16:creationId xmlns:a16="http://schemas.microsoft.com/office/drawing/2014/main" id="{E8948171-1891-49E6-998A-715625DA689C}"/>
            </a:ext>
          </a:extLst>
        </xdr:cNvPr>
        <xdr:cNvSpPr/>
      </xdr:nvSpPr>
      <xdr:spPr>
        <a:xfrm>
          <a:off x="14088836" y="3667125"/>
          <a:ext cx="9197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23</xdr:row>
      <xdr:rowOff>76200</xdr:rowOff>
    </xdr:from>
    <xdr:to>
      <xdr:col>65</xdr:col>
      <xdr:colOff>91849</xdr:colOff>
      <xdr:row>23</xdr:row>
      <xdr:rowOff>76200</xdr:rowOff>
    </xdr:to>
    <xdr:cxnSp macro="">
      <xdr:nvCxnSpPr>
        <xdr:cNvPr id="26240" name="직선 화살표 연결선 26239">
          <a:extLst>
            <a:ext uri="{FF2B5EF4-FFF2-40B4-BE49-F238E27FC236}">
              <a16:creationId xmlns:a16="http://schemas.microsoft.com/office/drawing/2014/main" id="{C8EC9BB5-04F1-4EE7-B35D-D2C4AAAD29D8}"/>
            </a:ext>
          </a:extLst>
        </xdr:cNvPr>
        <xdr:cNvCxnSpPr/>
      </xdr:nvCxnSpPr>
      <xdr:spPr>
        <a:xfrm>
          <a:off x="14088836" y="3724275"/>
          <a:ext cx="6429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20411</xdr:colOff>
      <xdr:row>22</xdr:row>
      <xdr:rowOff>19050</xdr:rowOff>
    </xdr:from>
    <xdr:to>
      <xdr:col>67</xdr:col>
      <xdr:colOff>82913</xdr:colOff>
      <xdr:row>22</xdr:row>
      <xdr:rowOff>133350</xdr:rowOff>
    </xdr:to>
    <xdr:sp macro="" textlink="">
      <xdr:nvSpPr>
        <xdr:cNvPr id="26241" name="19">
          <a:extLst>
            <a:ext uri="{FF2B5EF4-FFF2-40B4-BE49-F238E27FC236}">
              <a16:creationId xmlns:a16="http://schemas.microsoft.com/office/drawing/2014/main" id="{30F39C09-8F2B-4CCF-880E-E5E674CAC701}"/>
            </a:ext>
          </a:extLst>
        </xdr:cNvPr>
        <xdr:cNvSpPr/>
      </xdr:nvSpPr>
      <xdr:spPr>
        <a:xfrm>
          <a:off x="14088836" y="3514725"/>
          <a:ext cx="91975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20411</xdr:colOff>
      <xdr:row>22</xdr:row>
      <xdr:rowOff>76200</xdr:rowOff>
    </xdr:from>
    <xdr:to>
      <xdr:col>64</xdr:col>
      <xdr:colOff>138283</xdr:colOff>
      <xdr:row>22</xdr:row>
      <xdr:rowOff>76200</xdr:rowOff>
    </xdr:to>
    <xdr:cxnSp macro="">
      <xdr:nvCxnSpPr>
        <xdr:cNvPr id="26242" name="직선 화살표 연결선 26241">
          <a:extLst>
            <a:ext uri="{FF2B5EF4-FFF2-40B4-BE49-F238E27FC236}">
              <a16:creationId xmlns:a16="http://schemas.microsoft.com/office/drawing/2014/main" id="{7DCF5DA5-9F8B-4F53-A014-683F3909D6B6}"/>
            </a:ext>
          </a:extLst>
        </xdr:cNvPr>
        <xdr:cNvCxnSpPr/>
      </xdr:nvCxnSpPr>
      <xdr:spPr>
        <a:xfrm>
          <a:off x="14088836" y="3571875"/>
          <a:ext cx="5464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40822</xdr:colOff>
      <xdr:row>21</xdr:row>
      <xdr:rowOff>19050</xdr:rowOff>
    </xdr:from>
    <xdr:to>
      <xdr:col>95</xdr:col>
      <xdr:colOff>42090</xdr:colOff>
      <xdr:row>21</xdr:row>
      <xdr:rowOff>133350</xdr:rowOff>
    </xdr:to>
    <xdr:sp macro="" textlink="">
      <xdr:nvSpPr>
        <xdr:cNvPr id="26243" name="18">
          <a:extLst>
            <a:ext uri="{FF2B5EF4-FFF2-40B4-BE49-F238E27FC236}">
              <a16:creationId xmlns:a16="http://schemas.microsoft.com/office/drawing/2014/main" id="{4D3E871A-196A-4989-A55E-EE703CF7AE9F}"/>
            </a:ext>
          </a:extLst>
        </xdr:cNvPr>
        <xdr:cNvSpPr/>
      </xdr:nvSpPr>
      <xdr:spPr>
        <a:xfrm>
          <a:off x="10823122" y="3362325"/>
          <a:ext cx="81451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40822</xdr:colOff>
      <xdr:row>21</xdr:row>
      <xdr:rowOff>76200</xdr:rowOff>
    </xdr:from>
    <xdr:to>
      <xdr:col>76</xdr:col>
      <xdr:colOff>66334</xdr:colOff>
      <xdr:row>21</xdr:row>
      <xdr:rowOff>76200</xdr:rowOff>
    </xdr:to>
    <xdr:cxnSp macro="">
      <xdr:nvCxnSpPr>
        <xdr:cNvPr id="26244" name="직선 화살표 연결선 26243">
          <a:extLst>
            <a:ext uri="{FF2B5EF4-FFF2-40B4-BE49-F238E27FC236}">
              <a16:creationId xmlns:a16="http://schemas.microsoft.com/office/drawing/2014/main" id="{E1D5ADAB-5B6F-49F7-9E42-DECEE20FBBF4}"/>
            </a:ext>
          </a:extLst>
        </xdr:cNvPr>
        <xdr:cNvCxnSpPr/>
      </xdr:nvCxnSpPr>
      <xdr:spPr>
        <a:xfrm>
          <a:off x="10823122" y="3419475"/>
          <a:ext cx="54547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40821</xdr:colOff>
      <xdr:row>20</xdr:row>
      <xdr:rowOff>19050</xdr:rowOff>
    </xdr:from>
    <xdr:to>
      <xdr:col>95</xdr:col>
      <xdr:colOff>42090</xdr:colOff>
      <xdr:row>20</xdr:row>
      <xdr:rowOff>133350</xdr:rowOff>
    </xdr:to>
    <xdr:sp macro="" textlink="">
      <xdr:nvSpPr>
        <xdr:cNvPr id="26245" name="17">
          <a:extLst>
            <a:ext uri="{FF2B5EF4-FFF2-40B4-BE49-F238E27FC236}">
              <a16:creationId xmlns:a16="http://schemas.microsoft.com/office/drawing/2014/main" id="{752ADA49-89F3-4272-81B9-3EE6AEA58B35}"/>
            </a:ext>
          </a:extLst>
        </xdr:cNvPr>
        <xdr:cNvSpPr/>
      </xdr:nvSpPr>
      <xdr:spPr>
        <a:xfrm>
          <a:off x="15823746" y="3209925"/>
          <a:ext cx="3144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40821</xdr:colOff>
      <xdr:row>20</xdr:row>
      <xdr:rowOff>76200</xdr:rowOff>
    </xdr:from>
    <xdr:to>
      <xdr:col>73</xdr:col>
      <xdr:colOff>40821</xdr:colOff>
      <xdr:row>20</xdr:row>
      <xdr:rowOff>76200</xdr:rowOff>
    </xdr:to>
    <xdr:cxnSp macro="">
      <xdr:nvCxnSpPr>
        <xdr:cNvPr id="26246" name="직선 화살표 연결선 26245">
          <a:extLst>
            <a:ext uri="{FF2B5EF4-FFF2-40B4-BE49-F238E27FC236}">
              <a16:creationId xmlns:a16="http://schemas.microsoft.com/office/drawing/2014/main" id="{EAC1988F-CA1C-4E21-91C4-2E4CFD65699B}"/>
            </a:ext>
          </a:extLst>
        </xdr:cNvPr>
        <xdr:cNvCxnSpPr/>
      </xdr:nvCxnSpPr>
      <xdr:spPr>
        <a:xfrm>
          <a:off x="15823746"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40821</xdr:colOff>
      <xdr:row>19</xdr:row>
      <xdr:rowOff>19050</xdr:rowOff>
    </xdr:from>
    <xdr:to>
      <xdr:col>95</xdr:col>
      <xdr:colOff>42090</xdr:colOff>
      <xdr:row>19</xdr:row>
      <xdr:rowOff>133350</xdr:rowOff>
    </xdr:to>
    <xdr:sp macro="" textlink="">
      <xdr:nvSpPr>
        <xdr:cNvPr id="26247" name="16">
          <a:extLst>
            <a:ext uri="{FF2B5EF4-FFF2-40B4-BE49-F238E27FC236}">
              <a16:creationId xmlns:a16="http://schemas.microsoft.com/office/drawing/2014/main" id="{8AD3CE53-9527-41A5-87FE-1C2289215C0E}"/>
            </a:ext>
          </a:extLst>
        </xdr:cNvPr>
        <xdr:cNvSpPr/>
      </xdr:nvSpPr>
      <xdr:spPr>
        <a:xfrm>
          <a:off x="15823746" y="3057525"/>
          <a:ext cx="3144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40821</xdr:colOff>
      <xdr:row>19</xdr:row>
      <xdr:rowOff>76200</xdr:rowOff>
    </xdr:from>
    <xdr:to>
      <xdr:col>73</xdr:col>
      <xdr:colOff>40821</xdr:colOff>
      <xdr:row>19</xdr:row>
      <xdr:rowOff>76200</xdr:rowOff>
    </xdr:to>
    <xdr:cxnSp macro="">
      <xdr:nvCxnSpPr>
        <xdr:cNvPr id="26248" name="직선 화살표 연결선 26247">
          <a:extLst>
            <a:ext uri="{FF2B5EF4-FFF2-40B4-BE49-F238E27FC236}">
              <a16:creationId xmlns:a16="http://schemas.microsoft.com/office/drawing/2014/main" id="{EF61676F-0604-454E-A82B-4FECD7E71DF0}"/>
            </a:ext>
          </a:extLst>
        </xdr:cNvPr>
        <xdr:cNvCxnSpPr/>
      </xdr:nvCxnSpPr>
      <xdr:spPr>
        <a:xfrm>
          <a:off x="15823746"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40821</xdr:colOff>
      <xdr:row>18</xdr:row>
      <xdr:rowOff>19050</xdr:rowOff>
    </xdr:from>
    <xdr:to>
      <xdr:col>95</xdr:col>
      <xdr:colOff>42090</xdr:colOff>
      <xdr:row>18</xdr:row>
      <xdr:rowOff>133350</xdr:rowOff>
    </xdr:to>
    <xdr:sp macro="" textlink="">
      <xdr:nvSpPr>
        <xdr:cNvPr id="26249" name="15">
          <a:extLst>
            <a:ext uri="{FF2B5EF4-FFF2-40B4-BE49-F238E27FC236}">
              <a16:creationId xmlns:a16="http://schemas.microsoft.com/office/drawing/2014/main" id="{7B623D30-59CD-4645-8985-D9557C36B4F5}"/>
            </a:ext>
          </a:extLst>
        </xdr:cNvPr>
        <xdr:cNvSpPr/>
      </xdr:nvSpPr>
      <xdr:spPr>
        <a:xfrm>
          <a:off x="15823746" y="2905125"/>
          <a:ext cx="3144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40821</xdr:colOff>
      <xdr:row>18</xdr:row>
      <xdr:rowOff>76200</xdr:rowOff>
    </xdr:from>
    <xdr:to>
      <xdr:col>73</xdr:col>
      <xdr:colOff>40821</xdr:colOff>
      <xdr:row>18</xdr:row>
      <xdr:rowOff>76200</xdr:rowOff>
    </xdr:to>
    <xdr:cxnSp macro="">
      <xdr:nvCxnSpPr>
        <xdr:cNvPr id="26250" name="직선 화살표 연결선 26249">
          <a:extLst>
            <a:ext uri="{FF2B5EF4-FFF2-40B4-BE49-F238E27FC236}">
              <a16:creationId xmlns:a16="http://schemas.microsoft.com/office/drawing/2014/main" id="{1C629E1E-45A5-427B-B6C5-E04289063E1D}"/>
            </a:ext>
          </a:extLst>
        </xdr:cNvPr>
        <xdr:cNvCxnSpPr/>
      </xdr:nvCxnSpPr>
      <xdr:spPr>
        <a:xfrm>
          <a:off x="15823746"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40821</xdr:colOff>
      <xdr:row>17</xdr:row>
      <xdr:rowOff>19050</xdr:rowOff>
    </xdr:from>
    <xdr:to>
      <xdr:col>95</xdr:col>
      <xdr:colOff>42090</xdr:colOff>
      <xdr:row>17</xdr:row>
      <xdr:rowOff>133350</xdr:rowOff>
    </xdr:to>
    <xdr:sp macro="" textlink="">
      <xdr:nvSpPr>
        <xdr:cNvPr id="26251" name="14">
          <a:extLst>
            <a:ext uri="{FF2B5EF4-FFF2-40B4-BE49-F238E27FC236}">
              <a16:creationId xmlns:a16="http://schemas.microsoft.com/office/drawing/2014/main" id="{1D2F7C6D-3D35-413A-B1D0-33BC07FCC7B1}"/>
            </a:ext>
          </a:extLst>
        </xdr:cNvPr>
        <xdr:cNvSpPr/>
      </xdr:nvSpPr>
      <xdr:spPr>
        <a:xfrm>
          <a:off x="15823746" y="2752725"/>
          <a:ext cx="31445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40821</xdr:colOff>
      <xdr:row>17</xdr:row>
      <xdr:rowOff>76200</xdr:rowOff>
    </xdr:from>
    <xdr:to>
      <xdr:col>73</xdr:col>
      <xdr:colOff>40821</xdr:colOff>
      <xdr:row>17</xdr:row>
      <xdr:rowOff>76200</xdr:rowOff>
    </xdr:to>
    <xdr:cxnSp macro="">
      <xdr:nvCxnSpPr>
        <xdr:cNvPr id="26252" name="직선 화살표 연결선 26251">
          <a:extLst>
            <a:ext uri="{FF2B5EF4-FFF2-40B4-BE49-F238E27FC236}">
              <a16:creationId xmlns:a16="http://schemas.microsoft.com/office/drawing/2014/main" id="{A5C9FA48-6BBB-41E0-9F31-74DA5DF7AE93}"/>
            </a:ext>
          </a:extLst>
        </xdr:cNvPr>
        <xdr:cNvCxnSpPr/>
      </xdr:nvCxnSpPr>
      <xdr:spPr>
        <a:xfrm>
          <a:off x="15823746"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40821</xdr:colOff>
      <xdr:row>16</xdr:row>
      <xdr:rowOff>19050</xdr:rowOff>
    </xdr:from>
    <xdr:to>
      <xdr:col>95</xdr:col>
      <xdr:colOff>42090</xdr:colOff>
      <xdr:row>16</xdr:row>
      <xdr:rowOff>133350</xdr:rowOff>
    </xdr:to>
    <xdr:sp macro="" textlink="">
      <xdr:nvSpPr>
        <xdr:cNvPr id="26253" name="13">
          <a:extLst>
            <a:ext uri="{FF2B5EF4-FFF2-40B4-BE49-F238E27FC236}">
              <a16:creationId xmlns:a16="http://schemas.microsoft.com/office/drawing/2014/main" id="{1B9DB7D2-E4CD-488B-BA96-2E2D3BFF23CE}"/>
            </a:ext>
          </a:extLst>
        </xdr:cNvPr>
        <xdr:cNvSpPr/>
      </xdr:nvSpPr>
      <xdr:spPr>
        <a:xfrm>
          <a:off x="15823746" y="2600325"/>
          <a:ext cx="31445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40821</xdr:colOff>
      <xdr:row>16</xdr:row>
      <xdr:rowOff>76200</xdr:rowOff>
    </xdr:from>
    <xdr:to>
      <xdr:col>73</xdr:col>
      <xdr:colOff>40821</xdr:colOff>
      <xdr:row>16</xdr:row>
      <xdr:rowOff>76200</xdr:rowOff>
    </xdr:to>
    <xdr:cxnSp macro="">
      <xdr:nvCxnSpPr>
        <xdr:cNvPr id="26254" name="직선 화살표 연결선 26253">
          <a:extLst>
            <a:ext uri="{FF2B5EF4-FFF2-40B4-BE49-F238E27FC236}">
              <a16:creationId xmlns:a16="http://schemas.microsoft.com/office/drawing/2014/main" id="{70F42325-E660-4F69-83C7-D18F709ABE7C}"/>
            </a:ext>
          </a:extLst>
        </xdr:cNvPr>
        <xdr:cNvCxnSpPr/>
      </xdr:nvCxnSpPr>
      <xdr:spPr>
        <a:xfrm>
          <a:off x="15823746"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20411</xdr:colOff>
      <xdr:row>14</xdr:row>
      <xdr:rowOff>19050</xdr:rowOff>
    </xdr:from>
    <xdr:to>
      <xdr:col>67</xdr:col>
      <xdr:colOff>82913</xdr:colOff>
      <xdr:row>14</xdr:row>
      <xdr:rowOff>133350</xdr:rowOff>
    </xdr:to>
    <xdr:sp macro="" textlink="">
      <xdr:nvSpPr>
        <xdr:cNvPr id="26255" name="11">
          <a:extLst>
            <a:ext uri="{FF2B5EF4-FFF2-40B4-BE49-F238E27FC236}">
              <a16:creationId xmlns:a16="http://schemas.microsoft.com/office/drawing/2014/main" id="{3763F0ED-D624-4F6C-A172-829FC29728DB}"/>
            </a:ext>
          </a:extLst>
        </xdr:cNvPr>
        <xdr:cNvSpPr/>
      </xdr:nvSpPr>
      <xdr:spPr>
        <a:xfrm>
          <a:off x="14374586" y="22955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20411</xdr:colOff>
      <xdr:row>14</xdr:row>
      <xdr:rowOff>76200</xdr:rowOff>
    </xdr:from>
    <xdr:to>
      <xdr:col>67</xdr:col>
      <xdr:colOff>81643</xdr:colOff>
      <xdr:row>14</xdr:row>
      <xdr:rowOff>76200</xdr:rowOff>
    </xdr:to>
    <xdr:cxnSp macro="">
      <xdr:nvCxnSpPr>
        <xdr:cNvPr id="26256" name="직선 화살표 연결선 26255">
          <a:extLst>
            <a:ext uri="{FF2B5EF4-FFF2-40B4-BE49-F238E27FC236}">
              <a16:creationId xmlns:a16="http://schemas.microsoft.com/office/drawing/2014/main" id="{5B578FB6-53E1-4579-935C-02FF0B6EC650}"/>
            </a:ext>
          </a:extLst>
        </xdr:cNvPr>
        <xdr:cNvCxnSpPr/>
      </xdr:nvCxnSpPr>
      <xdr:spPr>
        <a:xfrm>
          <a:off x="14374586" y="2352675"/>
          <a:ext cx="63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61232</xdr:colOff>
      <xdr:row>13</xdr:row>
      <xdr:rowOff>19050</xdr:rowOff>
    </xdr:from>
    <xdr:to>
      <xdr:col>45</xdr:col>
      <xdr:colOff>21680</xdr:colOff>
      <xdr:row>13</xdr:row>
      <xdr:rowOff>133350</xdr:rowOff>
    </xdr:to>
    <xdr:sp macro="" textlink="">
      <xdr:nvSpPr>
        <xdr:cNvPr id="26257" name="10">
          <a:extLst>
            <a:ext uri="{FF2B5EF4-FFF2-40B4-BE49-F238E27FC236}">
              <a16:creationId xmlns:a16="http://schemas.microsoft.com/office/drawing/2014/main" id="{22F2070A-E55D-492C-92B1-4BE2C7510625}"/>
            </a:ext>
          </a:extLst>
        </xdr:cNvPr>
        <xdr:cNvSpPr/>
      </xdr:nvSpPr>
      <xdr:spPr>
        <a:xfrm>
          <a:off x="11272157" y="2143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61232</xdr:colOff>
      <xdr:row>13</xdr:row>
      <xdr:rowOff>76200</xdr:rowOff>
    </xdr:from>
    <xdr:to>
      <xdr:col>45</xdr:col>
      <xdr:colOff>20410</xdr:colOff>
      <xdr:row>13</xdr:row>
      <xdr:rowOff>76200</xdr:rowOff>
    </xdr:to>
    <xdr:cxnSp macro="">
      <xdr:nvCxnSpPr>
        <xdr:cNvPr id="26258" name="직선 화살표 연결선 26257">
          <a:extLst>
            <a:ext uri="{FF2B5EF4-FFF2-40B4-BE49-F238E27FC236}">
              <a16:creationId xmlns:a16="http://schemas.microsoft.com/office/drawing/2014/main" id="{FCAC11B2-C21C-42CC-8657-1AB7E09839D5}"/>
            </a:ext>
          </a:extLst>
        </xdr:cNvPr>
        <xdr:cNvCxnSpPr/>
      </xdr:nvCxnSpPr>
      <xdr:spPr>
        <a:xfrm>
          <a:off x="11272157" y="2200275"/>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40822</xdr:colOff>
      <xdr:row>12</xdr:row>
      <xdr:rowOff>19050</xdr:rowOff>
    </xdr:from>
    <xdr:to>
      <xdr:col>36</xdr:col>
      <xdr:colOff>62502</xdr:colOff>
      <xdr:row>12</xdr:row>
      <xdr:rowOff>133350</xdr:rowOff>
    </xdr:to>
    <xdr:sp macro="" textlink="">
      <xdr:nvSpPr>
        <xdr:cNvPr id="26259" name="9">
          <a:extLst>
            <a:ext uri="{FF2B5EF4-FFF2-40B4-BE49-F238E27FC236}">
              <a16:creationId xmlns:a16="http://schemas.microsoft.com/office/drawing/2014/main" id="{62165999-727C-404E-BB6E-8CF962EA2E02}"/>
            </a:ext>
          </a:extLst>
        </xdr:cNvPr>
        <xdr:cNvSpPr/>
      </xdr:nvSpPr>
      <xdr:spPr>
        <a:xfrm>
          <a:off x="10537372" y="19907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40822</xdr:colOff>
      <xdr:row>12</xdr:row>
      <xdr:rowOff>76200</xdr:rowOff>
    </xdr:from>
    <xdr:to>
      <xdr:col>36</xdr:col>
      <xdr:colOff>61232</xdr:colOff>
      <xdr:row>12</xdr:row>
      <xdr:rowOff>76200</xdr:rowOff>
    </xdr:to>
    <xdr:cxnSp macro="">
      <xdr:nvCxnSpPr>
        <xdr:cNvPr id="26260" name="직선 화살표 연결선 26259">
          <a:extLst>
            <a:ext uri="{FF2B5EF4-FFF2-40B4-BE49-F238E27FC236}">
              <a16:creationId xmlns:a16="http://schemas.microsoft.com/office/drawing/2014/main" id="{B86C1FC6-9040-462B-9B17-E60734555C55}"/>
            </a:ext>
          </a:extLst>
        </xdr:cNvPr>
        <xdr:cNvCxnSpPr/>
      </xdr:nvCxnSpPr>
      <xdr:spPr>
        <a:xfrm>
          <a:off x="10537372" y="20478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11</xdr:row>
      <xdr:rowOff>19050</xdr:rowOff>
    </xdr:from>
    <xdr:to>
      <xdr:col>32</xdr:col>
      <xdr:colOff>62502</xdr:colOff>
      <xdr:row>11</xdr:row>
      <xdr:rowOff>133350</xdr:rowOff>
    </xdr:to>
    <xdr:sp macro="" textlink="">
      <xdr:nvSpPr>
        <xdr:cNvPr id="26261" name="8">
          <a:extLst>
            <a:ext uri="{FF2B5EF4-FFF2-40B4-BE49-F238E27FC236}">
              <a16:creationId xmlns:a16="http://schemas.microsoft.com/office/drawing/2014/main" id="{73B8F50A-9327-4EB4-9165-E856A1C3B80C}"/>
            </a:ext>
          </a:extLst>
        </xdr:cNvPr>
        <xdr:cNvSpPr/>
      </xdr:nvSpPr>
      <xdr:spPr>
        <a:xfrm>
          <a:off x="9884228" y="18383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11</xdr:row>
      <xdr:rowOff>76200</xdr:rowOff>
    </xdr:from>
    <xdr:to>
      <xdr:col>32</xdr:col>
      <xdr:colOff>61232</xdr:colOff>
      <xdr:row>11</xdr:row>
      <xdr:rowOff>76200</xdr:rowOff>
    </xdr:to>
    <xdr:cxnSp macro="">
      <xdr:nvCxnSpPr>
        <xdr:cNvPr id="26262" name="직선 화살표 연결선 26261">
          <a:extLst>
            <a:ext uri="{FF2B5EF4-FFF2-40B4-BE49-F238E27FC236}">
              <a16:creationId xmlns:a16="http://schemas.microsoft.com/office/drawing/2014/main" id="{4809568F-A77B-4901-A08A-CDB0DD7DB38E}"/>
            </a:ext>
          </a:extLst>
        </xdr:cNvPr>
        <xdr:cNvCxnSpPr/>
      </xdr:nvCxnSpPr>
      <xdr:spPr>
        <a:xfrm>
          <a:off x="9884228" y="18954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10</xdr:row>
      <xdr:rowOff>19050</xdr:rowOff>
    </xdr:from>
    <xdr:to>
      <xdr:col>67</xdr:col>
      <xdr:colOff>82913</xdr:colOff>
      <xdr:row>10</xdr:row>
      <xdr:rowOff>133350</xdr:rowOff>
    </xdr:to>
    <xdr:sp macro="" textlink="">
      <xdr:nvSpPr>
        <xdr:cNvPr id="26263" name="7">
          <a:extLst>
            <a:ext uri="{FF2B5EF4-FFF2-40B4-BE49-F238E27FC236}">
              <a16:creationId xmlns:a16="http://schemas.microsoft.com/office/drawing/2014/main" id="{C548655D-03E3-423D-AC74-346B21D8E291}"/>
            </a:ext>
          </a:extLst>
        </xdr:cNvPr>
        <xdr:cNvSpPr/>
      </xdr:nvSpPr>
      <xdr:spPr>
        <a:xfrm>
          <a:off x="9884228" y="1685925"/>
          <a:ext cx="512436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10</xdr:row>
      <xdr:rowOff>76200</xdr:rowOff>
    </xdr:from>
    <xdr:to>
      <xdr:col>67</xdr:col>
      <xdr:colOff>81643</xdr:colOff>
      <xdr:row>10</xdr:row>
      <xdr:rowOff>76200</xdr:rowOff>
    </xdr:to>
    <xdr:cxnSp macro="">
      <xdr:nvCxnSpPr>
        <xdr:cNvPr id="26264" name="직선 화살표 연결선 26263">
          <a:extLst>
            <a:ext uri="{FF2B5EF4-FFF2-40B4-BE49-F238E27FC236}">
              <a16:creationId xmlns:a16="http://schemas.microsoft.com/office/drawing/2014/main" id="{D125E893-532A-416A-8C59-88A5BAC437BC}"/>
            </a:ext>
          </a:extLst>
        </xdr:cNvPr>
        <xdr:cNvCxnSpPr/>
      </xdr:nvCxnSpPr>
      <xdr:spPr>
        <a:xfrm>
          <a:off x="9884228" y="1743075"/>
          <a:ext cx="512309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61232</xdr:colOff>
      <xdr:row>9</xdr:row>
      <xdr:rowOff>19050</xdr:rowOff>
    </xdr:from>
    <xdr:to>
      <xdr:col>49</xdr:col>
      <xdr:colOff>123734</xdr:colOff>
      <xdr:row>9</xdr:row>
      <xdr:rowOff>133350</xdr:rowOff>
    </xdr:to>
    <xdr:sp macro="" textlink="">
      <xdr:nvSpPr>
        <xdr:cNvPr id="26265" name="6">
          <a:extLst>
            <a:ext uri="{FF2B5EF4-FFF2-40B4-BE49-F238E27FC236}">
              <a16:creationId xmlns:a16="http://schemas.microsoft.com/office/drawing/2014/main" id="{CB12A1E6-B9C6-40E3-949C-4D497E24FC9B}"/>
            </a:ext>
          </a:extLst>
        </xdr:cNvPr>
        <xdr:cNvSpPr/>
      </xdr:nvSpPr>
      <xdr:spPr>
        <a:xfrm>
          <a:off x="11272157" y="1533525"/>
          <a:ext cx="1205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61232</xdr:colOff>
      <xdr:row>9</xdr:row>
      <xdr:rowOff>76200</xdr:rowOff>
    </xdr:from>
    <xdr:to>
      <xdr:col>49</xdr:col>
      <xdr:colOff>122465</xdr:colOff>
      <xdr:row>9</xdr:row>
      <xdr:rowOff>76200</xdr:rowOff>
    </xdr:to>
    <xdr:cxnSp macro="">
      <xdr:nvCxnSpPr>
        <xdr:cNvPr id="26266" name="직선 화살표 연결선 26265">
          <a:extLst>
            <a:ext uri="{FF2B5EF4-FFF2-40B4-BE49-F238E27FC236}">
              <a16:creationId xmlns:a16="http://schemas.microsoft.com/office/drawing/2014/main" id="{9E3B01DA-4920-429A-B90A-6F41CB24DD73}"/>
            </a:ext>
          </a:extLst>
        </xdr:cNvPr>
        <xdr:cNvCxnSpPr/>
      </xdr:nvCxnSpPr>
      <xdr:spPr>
        <a:xfrm>
          <a:off x="11272157" y="1590675"/>
          <a:ext cx="1204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61232</xdr:colOff>
      <xdr:row>8</xdr:row>
      <xdr:rowOff>19050</xdr:rowOff>
    </xdr:from>
    <xdr:to>
      <xdr:col>49</xdr:col>
      <xdr:colOff>123734</xdr:colOff>
      <xdr:row>8</xdr:row>
      <xdr:rowOff>133350</xdr:rowOff>
    </xdr:to>
    <xdr:sp macro="" textlink="">
      <xdr:nvSpPr>
        <xdr:cNvPr id="26267" name="5">
          <a:extLst>
            <a:ext uri="{FF2B5EF4-FFF2-40B4-BE49-F238E27FC236}">
              <a16:creationId xmlns:a16="http://schemas.microsoft.com/office/drawing/2014/main" id="{CC564E51-C737-47F9-9B24-1263D74DA6FB}"/>
            </a:ext>
          </a:extLst>
        </xdr:cNvPr>
        <xdr:cNvSpPr/>
      </xdr:nvSpPr>
      <xdr:spPr>
        <a:xfrm>
          <a:off x="11272157" y="1381125"/>
          <a:ext cx="1205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61232</xdr:colOff>
      <xdr:row>8</xdr:row>
      <xdr:rowOff>76200</xdr:rowOff>
    </xdr:from>
    <xdr:to>
      <xdr:col>49</xdr:col>
      <xdr:colOff>122465</xdr:colOff>
      <xdr:row>8</xdr:row>
      <xdr:rowOff>76200</xdr:rowOff>
    </xdr:to>
    <xdr:cxnSp macro="">
      <xdr:nvCxnSpPr>
        <xdr:cNvPr id="26268" name="직선 화살표 연결선 26267">
          <a:extLst>
            <a:ext uri="{FF2B5EF4-FFF2-40B4-BE49-F238E27FC236}">
              <a16:creationId xmlns:a16="http://schemas.microsoft.com/office/drawing/2014/main" id="{09100DC2-499E-4708-9D0C-2D501E6EC00B}"/>
            </a:ext>
          </a:extLst>
        </xdr:cNvPr>
        <xdr:cNvCxnSpPr/>
      </xdr:nvCxnSpPr>
      <xdr:spPr>
        <a:xfrm>
          <a:off x="11272157" y="1438275"/>
          <a:ext cx="1204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61232</xdr:colOff>
      <xdr:row>7</xdr:row>
      <xdr:rowOff>19050</xdr:rowOff>
    </xdr:from>
    <xdr:to>
      <xdr:col>49</xdr:col>
      <xdr:colOff>123734</xdr:colOff>
      <xdr:row>7</xdr:row>
      <xdr:rowOff>133350</xdr:rowOff>
    </xdr:to>
    <xdr:sp macro="" textlink="">
      <xdr:nvSpPr>
        <xdr:cNvPr id="26269" name="4">
          <a:extLst>
            <a:ext uri="{FF2B5EF4-FFF2-40B4-BE49-F238E27FC236}">
              <a16:creationId xmlns:a16="http://schemas.microsoft.com/office/drawing/2014/main" id="{7F821830-232D-46AC-8AD5-9B1DE875C4B6}"/>
            </a:ext>
          </a:extLst>
        </xdr:cNvPr>
        <xdr:cNvSpPr/>
      </xdr:nvSpPr>
      <xdr:spPr>
        <a:xfrm>
          <a:off x="11272157" y="1228725"/>
          <a:ext cx="1205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61232</xdr:colOff>
      <xdr:row>7</xdr:row>
      <xdr:rowOff>76200</xdr:rowOff>
    </xdr:from>
    <xdr:to>
      <xdr:col>49</xdr:col>
      <xdr:colOff>122465</xdr:colOff>
      <xdr:row>7</xdr:row>
      <xdr:rowOff>76200</xdr:rowOff>
    </xdr:to>
    <xdr:cxnSp macro="">
      <xdr:nvCxnSpPr>
        <xdr:cNvPr id="26270" name="직선 화살표 연결선 26269">
          <a:extLst>
            <a:ext uri="{FF2B5EF4-FFF2-40B4-BE49-F238E27FC236}">
              <a16:creationId xmlns:a16="http://schemas.microsoft.com/office/drawing/2014/main" id="{AA785F07-8A12-4E8A-9EE5-81AD5CDFACE3}"/>
            </a:ext>
          </a:extLst>
        </xdr:cNvPr>
        <xdr:cNvCxnSpPr/>
      </xdr:nvCxnSpPr>
      <xdr:spPr>
        <a:xfrm>
          <a:off x="11272157" y="1285875"/>
          <a:ext cx="1204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81643</xdr:colOff>
      <xdr:row>6</xdr:row>
      <xdr:rowOff>19050</xdr:rowOff>
    </xdr:from>
    <xdr:to>
      <xdr:col>49</xdr:col>
      <xdr:colOff>123734</xdr:colOff>
      <xdr:row>6</xdr:row>
      <xdr:rowOff>133350</xdr:rowOff>
    </xdr:to>
    <xdr:sp macro="" textlink="">
      <xdr:nvSpPr>
        <xdr:cNvPr id="26271" name="3">
          <a:extLst>
            <a:ext uri="{FF2B5EF4-FFF2-40B4-BE49-F238E27FC236}">
              <a16:creationId xmlns:a16="http://schemas.microsoft.com/office/drawing/2014/main" id="{40067CEE-B5BA-494F-A50D-C5A30368B956}"/>
            </a:ext>
          </a:extLst>
        </xdr:cNvPr>
        <xdr:cNvSpPr/>
      </xdr:nvSpPr>
      <xdr:spPr>
        <a:xfrm>
          <a:off x="11149693" y="1076325"/>
          <a:ext cx="1327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81643</xdr:colOff>
      <xdr:row>6</xdr:row>
      <xdr:rowOff>76200</xdr:rowOff>
    </xdr:from>
    <xdr:to>
      <xdr:col>49</xdr:col>
      <xdr:colOff>122465</xdr:colOff>
      <xdr:row>6</xdr:row>
      <xdr:rowOff>76200</xdr:rowOff>
    </xdr:to>
    <xdr:cxnSp macro="">
      <xdr:nvCxnSpPr>
        <xdr:cNvPr id="26272" name="직선 화살표 연결선 26271">
          <a:extLst>
            <a:ext uri="{FF2B5EF4-FFF2-40B4-BE49-F238E27FC236}">
              <a16:creationId xmlns:a16="http://schemas.microsoft.com/office/drawing/2014/main" id="{38123348-F16D-4A77-8DF4-DE3700B24F11}"/>
            </a:ext>
          </a:extLst>
        </xdr:cNvPr>
        <xdr:cNvCxnSpPr/>
      </xdr:nvCxnSpPr>
      <xdr:spPr>
        <a:xfrm>
          <a:off x="11149693" y="1133475"/>
          <a:ext cx="13266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81643</xdr:colOff>
      <xdr:row>5</xdr:row>
      <xdr:rowOff>19050</xdr:rowOff>
    </xdr:from>
    <xdr:to>
      <xdr:col>49</xdr:col>
      <xdr:colOff>123734</xdr:colOff>
      <xdr:row>5</xdr:row>
      <xdr:rowOff>133350</xdr:rowOff>
    </xdr:to>
    <xdr:sp macro="" textlink="">
      <xdr:nvSpPr>
        <xdr:cNvPr id="26273" name="2">
          <a:extLst>
            <a:ext uri="{FF2B5EF4-FFF2-40B4-BE49-F238E27FC236}">
              <a16:creationId xmlns:a16="http://schemas.microsoft.com/office/drawing/2014/main" id="{3177395D-EE90-4EEF-8497-934FCB6A7F8D}"/>
            </a:ext>
          </a:extLst>
        </xdr:cNvPr>
        <xdr:cNvSpPr/>
      </xdr:nvSpPr>
      <xdr:spPr>
        <a:xfrm>
          <a:off x="11149693" y="923925"/>
          <a:ext cx="13279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81643</xdr:colOff>
      <xdr:row>5</xdr:row>
      <xdr:rowOff>76200</xdr:rowOff>
    </xdr:from>
    <xdr:to>
      <xdr:col>49</xdr:col>
      <xdr:colOff>122465</xdr:colOff>
      <xdr:row>5</xdr:row>
      <xdr:rowOff>76200</xdr:rowOff>
    </xdr:to>
    <xdr:cxnSp macro="">
      <xdr:nvCxnSpPr>
        <xdr:cNvPr id="26274" name="직선 화살표 연결선 26273">
          <a:extLst>
            <a:ext uri="{FF2B5EF4-FFF2-40B4-BE49-F238E27FC236}">
              <a16:creationId xmlns:a16="http://schemas.microsoft.com/office/drawing/2014/main" id="{133EAE47-5660-42A4-9A55-F0886016DF98}"/>
            </a:ext>
          </a:extLst>
        </xdr:cNvPr>
        <xdr:cNvCxnSpPr/>
      </xdr:nvCxnSpPr>
      <xdr:spPr>
        <a:xfrm>
          <a:off x="11149693" y="981075"/>
          <a:ext cx="13266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xdr:row>
      <xdr:rowOff>19050</xdr:rowOff>
    </xdr:from>
    <xdr:to>
      <xdr:col>95</xdr:col>
      <xdr:colOff>42090</xdr:colOff>
      <xdr:row>4</xdr:row>
      <xdr:rowOff>133350</xdr:rowOff>
    </xdr:to>
    <xdr:sp macro="" textlink="">
      <xdr:nvSpPr>
        <xdr:cNvPr id="26275" name="1">
          <a:extLst>
            <a:ext uri="{FF2B5EF4-FFF2-40B4-BE49-F238E27FC236}">
              <a16:creationId xmlns:a16="http://schemas.microsoft.com/office/drawing/2014/main" id="{32B4E07E-E5AA-4AF0-AFF3-62ED30E0C08E}"/>
            </a:ext>
          </a:extLst>
        </xdr:cNvPr>
        <xdr:cNvSpPr/>
      </xdr:nvSpPr>
      <xdr:spPr>
        <a:xfrm>
          <a:off x="9884228" y="771525"/>
          <a:ext cx="908403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xdr:row>
      <xdr:rowOff>76200</xdr:rowOff>
    </xdr:from>
    <xdr:to>
      <xdr:col>49</xdr:col>
      <xdr:colOff>118815</xdr:colOff>
      <xdr:row>4</xdr:row>
      <xdr:rowOff>76200</xdr:rowOff>
    </xdr:to>
    <xdr:cxnSp macro="">
      <xdr:nvCxnSpPr>
        <xdr:cNvPr id="26276" name="직선 화살표 연결선 26275">
          <a:extLst>
            <a:ext uri="{FF2B5EF4-FFF2-40B4-BE49-F238E27FC236}">
              <a16:creationId xmlns:a16="http://schemas.microsoft.com/office/drawing/2014/main" id="{14853A2B-083A-45D5-9C8C-2623D43AFA9C}"/>
            </a:ext>
          </a:extLst>
        </xdr:cNvPr>
        <xdr:cNvCxnSpPr/>
      </xdr:nvCxnSpPr>
      <xdr:spPr>
        <a:xfrm>
          <a:off x="9884228" y="828675"/>
          <a:ext cx="25885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4" name="차트 3">
          <a:extLst>
            <a:ext uri="{FF2B5EF4-FFF2-40B4-BE49-F238E27FC236}">
              <a16:creationId xmlns:a16="http://schemas.microsoft.com/office/drawing/2014/main" id="{37EB1700-8C51-43F5-A2DC-A0D99AB797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project-scheduler/"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4" sqref="C24"/>
    </sheetView>
  </sheetViews>
  <sheetFormatPr defaultColWidth="10" defaultRowHeight="13.8"/>
  <cols>
    <col min="1" max="1" width="28.19921875" style="91" bestFit="1" customWidth="1"/>
    <col min="2" max="2" width="23.09765625" style="88" bestFit="1" customWidth="1"/>
    <col min="3" max="3" width="53.3984375" style="88" bestFit="1" customWidth="1"/>
    <col min="4" max="4" width="27.3984375" style="88" bestFit="1" customWidth="1"/>
    <col min="5" max="5" width="12.8984375" style="88" bestFit="1" customWidth="1"/>
    <col min="6" max="6" width="17.69921875" style="88" bestFit="1" customWidth="1"/>
    <col min="7" max="7" width="21.8984375" style="91" bestFit="1" customWidth="1"/>
    <col min="8" max="8" width="23.69921875" style="91" bestFit="1" customWidth="1"/>
    <col min="9" max="9" width="9.69921875" style="91" bestFit="1" customWidth="1"/>
    <col min="10" max="10" width="25.09765625" style="91" bestFit="1" customWidth="1"/>
    <col min="11" max="11" width="60.69921875" style="91" bestFit="1" customWidth="1"/>
    <col min="12" max="12" width="25.09765625" style="91" bestFit="1" customWidth="1"/>
    <col min="13" max="13" width="4.8984375" style="91" bestFit="1" customWidth="1"/>
    <col min="14" max="14" width="23" style="91" bestFit="1" customWidth="1"/>
    <col min="15" max="15" width="14.5" style="91" customWidth="1"/>
    <col min="16" max="16" width="28.3984375" style="91" bestFit="1" customWidth="1"/>
    <col min="17" max="17" width="9.5" style="91" bestFit="1" customWidth="1"/>
    <col min="18" max="18" width="27.69921875" style="91" bestFit="1" customWidth="1"/>
    <col min="19" max="19" width="4.8984375" style="91" bestFit="1" customWidth="1"/>
    <col min="20" max="20" width="25" style="91" bestFit="1" customWidth="1"/>
    <col min="21" max="21" width="4.3984375" style="91" bestFit="1" customWidth="1"/>
    <col min="22" max="22" width="23" style="91" bestFit="1" customWidth="1"/>
    <col min="23" max="23" width="8.09765625" style="91" bestFit="1" customWidth="1"/>
    <col min="24" max="24" width="22.59765625" style="91" bestFit="1" customWidth="1"/>
    <col min="25" max="25" width="9.5" style="91" bestFit="1" customWidth="1"/>
    <col min="26" max="26" width="26.19921875" style="91" bestFit="1" customWidth="1"/>
    <col min="27" max="27" width="7.8984375" style="91" bestFit="1" customWidth="1"/>
    <col min="28" max="28" width="21.19921875" style="91" bestFit="1" customWidth="1"/>
    <col min="29" max="29" width="15.59765625" style="91" bestFit="1" customWidth="1"/>
    <col min="30" max="30" width="23.5" style="91" bestFit="1" customWidth="1"/>
    <col min="31" max="31" width="39.59765625" style="91" bestFit="1" customWidth="1"/>
    <col min="32" max="32" width="22.59765625" style="91" bestFit="1" customWidth="1"/>
    <col min="33" max="33" width="60.8984375" style="91" bestFit="1" customWidth="1"/>
    <col min="34" max="34" width="28.3984375" style="91" bestFit="1" customWidth="1"/>
    <col min="35" max="35" width="11.5" style="91" bestFit="1" customWidth="1"/>
    <col min="36" max="36" width="25.09765625" style="91" bestFit="1" customWidth="1"/>
    <col min="37" max="37" width="4" style="91" bestFit="1" customWidth="1"/>
    <col min="38" max="38" width="14.8984375" style="91" bestFit="1" customWidth="1"/>
    <col min="39" max="39" width="11.59765625" style="91" bestFit="1" customWidth="1"/>
    <col min="40" max="40" width="22.59765625" style="91" bestFit="1" customWidth="1"/>
    <col min="41" max="41" width="5.8984375" style="91" bestFit="1" customWidth="1"/>
    <col min="42" max="42" width="15.8984375" style="91" bestFit="1" customWidth="1"/>
    <col min="43" max="43" width="6.3984375" style="91" bestFit="1" customWidth="1"/>
    <col min="44" max="44" width="13.19921875" style="91" bestFit="1" customWidth="1"/>
    <col min="45" max="45" width="3.19921875" style="91" bestFit="1" customWidth="1"/>
    <col min="46" max="46" width="14.8984375" style="91" bestFit="1" customWidth="1"/>
    <col min="47" max="47" width="28.59765625" style="91" bestFit="1" customWidth="1"/>
    <col min="48" max="48" width="22.59765625" style="91" bestFit="1" customWidth="1"/>
    <col min="49" max="49" width="5.3984375" style="91" bestFit="1" customWidth="1"/>
    <col min="50" max="50" width="15.8984375" style="91" bestFit="1" customWidth="1"/>
    <col min="51" max="51" width="10" style="91"/>
    <col min="52" max="52" width="13.19921875" style="91" bestFit="1" customWidth="1"/>
    <col min="53" max="53" width="10" style="91"/>
    <col min="54" max="54" width="14.8984375" style="91" bestFit="1" customWidth="1"/>
    <col min="55" max="55" width="10" style="91"/>
    <col min="56" max="56" width="22.59765625" style="91" bestFit="1" customWidth="1"/>
    <col min="57" max="57" width="10" style="91"/>
    <col min="58" max="58" width="15.8984375" style="91" bestFit="1" customWidth="1"/>
    <col min="59" max="59" width="10" style="91"/>
    <col min="60" max="60" width="13.19921875" style="91" bestFit="1" customWidth="1"/>
    <col min="61" max="61" width="10" style="91"/>
    <col min="62" max="62" width="14.8984375" style="91" bestFit="1" customWidth="1"/>
    <col min="63" max="63" width="10" style="91"/>
    <col min="64" max="64" width="22.59765625" style="91" bestFit="1" customWidth="1"/>
    <col min="65" max="65" width="10" style="91"/>
    <col min="66" max="66" width="33.69921875" style="91" bestFit="1" customWidth="1"/>
    <col min="67" max="16384" width="10" style="91"/>
  </cols>
  <sheetData>
    <row r="1" spans="1:64" s="88" customFormat="1">
      <c r="A1" s="87" t="s">
        <v>3</v>
      </c>
      <c r="B1" s="87" t="s">
        <v>4</v>
      </c>
      <c r="C1" s="87" t="s">
        <v>5</v>
      </c>
      <c r="D1" s="87" t="s">
        <v>6</v>
      </c>
      <c r="E1" s="87" t="s">
        <v>7</v>
      </c>
      <c r="F1" s="87" t="s">
        <v>8</v>
      </c>
    </row>
    <row r="2" spans="1:64">
      <c r="A2" s="89" t="s">
        <v>9</v>
      </c>
      <c r="B2" s="90" t="s">
        <v>10</v>
      </c>
      <c r="C2" s="90"/>
      <c r="D2" s="90"/>
      <c r="E2" s="90" t="s">
        <v>11</v>
      </c>
      <c r="F2" s="90"/>
    </row>
    <row r="3" spans="1:64">
      <c r="A3" s="89" t="s">
        <v>389</v>
      </c>
      <c r="B3" s="90" t="s">
        <v>10</v>
      </c>
      <c r="C3" s="90"/>
      <c r="D3" s="90"/>
      <c r="E3" s="90" t="s">
        <v>11</v>
      </c>
      <c r="F3" s="90"/>
    </row>
    <row r="4" spans="1:64">
      <c r="A4" s="89" t="s">
        <v>12</v>
      </c>
      <c r="B4" s="100" t="s">
        <v>390</v>
      </c>
      <c r="C4" s="90"/>
      <c r="D4" s="90"/>
      <c r="E4" s="90" t="s">
        <v>11</v>
      </c>
      <c r="F4" s="90"/>
    </row>
    <row r="5" spans="1:64">
      <c r="A5" s="89" t="s">
        <v>13</v>
      </c>
      <c r="B5" s="90" t="s">
        <v>14</v>
      </c>
      <c r="C5" s="90"/>
      <c r="D5" s="90"/>
      <c r="E5" s="90" t="s">
        <v>11</v>
      </c>
      <c r="F5" s="90"/>
    </row>
    <row r="6" spans="1:64">
      <c r="A6" s="89" t="s">
        <v>15</v>
      </c>
      <c r="B6" s="100" t="s">
        <v>16</v>
      </c>
      <c r="C6" s="90"/>
      <c r="D6" s="90"/>
      <c r="E6" s="90" t="s">
        <v>11</v>
      </c>
      <c r="F6" s="90"/>
    </row>
    <row r="7" spans="1:64">
      <c r="A7" s="89" t="s">
        <v>17</v>
      </c>
      <c r="B7" s="89" t="s">
        <v>10</v>
      </c>
      <c r="C7" s="90"/>
      <c r="D7" s="90"/>
      <c r="E7" s="90" t="s">
        <v>11</v>
      </c>
      <c r="F7" s="90"/>
    </row>
    <row r="8" spans="1:64">
      <c r="A8" s="89" t="s">
        <v>18</v>
      </c>
      <c r="B8" s="92" t="s">
        <v>1246</v>
      </c>
      <c r="C8" s="90" t="s">
        <v>1385</v>
      </c>
      <c r="D8" s="90">
        <v>82</v>
      </c>
      <c r="E8" s="90" t="s">
        <v>19</v>
      </c>
      <c r="F8" s="90"/>
    </row>
    <row r="9" spans="1:64">
      <c r="A9" s="89" t="s">
        <v>20</v>
      </c>
      <c r="B9" s="93">
        <v>43734</v>
      </c>
      <c r="C9" s="90"/>
      <c r="D9" s="90"/>
      <c r="E9" s="90" t="s">
        <v>11</v>
      </c>
      <c r="F9" s="90"/>
    </row>
    <row r="10" spans="1:64">
      <c r="A10" s="94" t="s">
        <v>21</v>
      </c>
      <c r="B10" s="95" t="s">
        <v>22</v>
      </c>
      <c r="C10" s="95"/>
      <c r="D10" s="95"/>
      <c r="E10" s="95" t="s">
        <v>11</v>
      </c>
      <c r="F10" s="95"/>
    </row>
    <row r="11" spans="1:64">
      <c r="A11" s="91" t="s">
        <v>391</v>
      </c>
      <c r="B11" s="96" t="s">
        <v>23</v>
      </c>
      <c r="C11" s="88" t="s">
        <v>1048</v>
      </c>
      <c r="D11" s="88" t="s">
        <v>24</v>
      </c>
      <c r="E11" s="97">
        <v>1</v>
      </c>
      <c r="F11" s="98" t="s">
        <v>25</v>
      </c>
      <c r="G11" s="99">
        <v>43721</v>
      </c>
      <c r="H11" s="98" t="s">
        <v>26</v>
      </c>
      <c r="I11" s="99">
        <v>44165</v>
      </c>
      <c r="J11" s="91" t="s">
        <v>408</v>
      </c>
      <c r="K11" s="91" t="s">
        <v>1386</v>
      </c>
      <c r="L11" s="91" t="s">
        <v>405</v>
      </c>
      <c r="M11" s="91">
        <v>1</v>
      </c>
      <c r="N11" s="96" t="s">
        <v>27</v>
      </c>
      <c r="O11" s="88">
        <v>0</v>
      </c>
      <c r="P11" s="88" t="s">
        <v>28</v>
      </c>
      <c r="Q11" s="96" t="s">
        <v>1108</v>
      </c>
      <c r="R11" s="91" t="s">
        <v>410</v>
      </c>
      <c r="S11" s="91">
        <v>1</v>
      </c>
      <c r="T11" s="91" t="s">
        <v>415</v>
      </c>
      <c r="U11" s="91">
        <v>1</v>
      </c>
      <c r="V11" s="91" t="s">
        <v>416</v>
      </c>
      <c r="W11" s="91">
        <v>1</v>
      </c>
      <c r="X11" s="91" t="s">
        <v>419</v>
      </c>
      <c r="Y11" s="91">
        <v>1</v>
      </c>
      <c r="Z11" s="91" t="s">
        <v>589</v>
      </c>
      <c r="AA11" s="91">
        <v>0</v>
      </c>
      <c r="AB11" s="91" t="s">
        <v>1003</v>
      </c>
      <c r="AC11" s="91">
        <v>0</v>
      </c>
      <c r="AD11" s="91" t="s">
        <v>1039</v>
      </c>
      <c r="AE11" s="91">
        <v>1</v>
      </c>
    </row>
    <row r="12" spans="1:64">
      <c r="A12" s="91" t="s">
        <v>394</v>
      </c>
      <c r="B12" s="91" t="s">
        <v>395</v>
      </c>
      <c r="C12" s="91">
        <v>1</v>
      </c>
      <c r="D12" s="91" t="s">
        <v>396</v>
      </c>
      <c r="E12" s="91">
        <v>1</v>
      </c>
      <c r="F12" s="91" t="s">
        <v>397</v>
      </c>
      <c r="G12" s="91">
        <v>0</v>
      </c>
      <c r="H12" s="91" t="s">
        <v>398</v>
      </c>
      <c r="I12" s="91">
        <v>1</v>
      </c>
      <c r="J12" s="91" t="s">
        <v>399</v>
      </c>
      <c r="K12" s="91">
        <v>0.7</v>
      </c>
      <c r="L12" s="91" t="s">
        <v>400</v>
      </c>
      <c r="M12" s="91">
        <v>2</v>
      </c>
      <c r="N12" s="91" t="s">
        <v>401</v>
      </c>
      <c r="O12" s="91">
        <v>1</v>
      </c>
      <c r="P12" s="91" t="s">
        <v>404</v>
      </c>
      <c r="Q12" s="91">
        <v>1</v>
      </c>
      <c r="R12" s="91" t="s">
        <v>411</v>
      </c>
      <c r="S12" s="91">
        <v>7</v>
      </c>
      <c r="T12" s="91" t="s">
        <v>412</v>
      </c>
      <c r="U12" s="91">
        <v>0</v>
      </c>
      <c r="V12" s="91" t="s">
        <v>413</v>
      </c>
      <c r="W12" s="91">
        <v>100</v>
      </c>
      <c r="X12" s="91" t="s">
        <v>414</v>
      </c>
      <c r="Y12" s="91">
        <v>0</v>
      </c>
      <c r="Z12" s="91" t="s">
        <v>417</v>
      </c>
      <c r="AA12" s="91">
        <v>1</v>
      </c>
      <c r="AB12" s="91" t="s">
        <v>418</v>
      </c>
      <c r="AC12" s="91">
        <v>1</v>
      </c>
      <c r="AD12" s="91" t="s">
        <v>536</v>
      </c>
      <c r="AE12" s="91">
        <v>1</v>
      </c>
      <c r="AF12" s="91" t="s">
        <v>561</v>
      </c>
      <c r="AG12" s="91">
        <v>0</v>
      </c>
      <c r="AH12" s="91" t="s">
        <v>1010</v>
      </c>
      <c r="AI12" s="91">
        <v>9</v>
      </c>
    </row>
    <row r="13" spans="1:64">
      <c r="A13" s="90" t="s">
        <v>392</v>
      </c>
      <c r="B13" s="96" t="s">
        <v>29</v>
      </c>
      <c r="C13" s="88">
        <v>1</v>
      </c>
      <c r="D13" s="96" t="s">
        <v>30</v>
      </c>
      <c r="E13" s="88" t="s">
        <v>1396</v>
      </c>
      <c r="F13" s="88" t="s">
        <v>31</v>
      </c>
      <c r="G13" s="98" t="s">
        <v>538</v>
      </c>
      <c r="H13" s="98" t="s">
        <v>32</v>
      </c>
      <c r="I13" s="91" t="s">
        <v>538</v>
      </c>
    </row>
    <row r="14" spans="1:64">
      <c r="A14" s="90" t="s">
        <v>393</v>
      </c>
      <c r="B14" s="97" t="s">
        <v>33</v>
      </c>
      <c r="C14" s="97" t="s">
        <v>1296</v>
      </c>
      <c r="D14" s="97" t="s">
        <v>34</v>
      </c>
      <c r="E14" s="97" t="s">
        <v>562</v>
      </c>
      <c r="F14" s="97" t="s">
        <v>35</v>
      </c>
      <c r="G14" s="97" t="s">
        <v>1297</v>
      </c>
      <c r="H14" s="97" t="s">
        <v>36</v>
      </c>
      <c r="I14" s="97" t="b">
        <v>0</v>
      </c>
      <c r="J14" s="97" t="s">
        <v>37</v>
      </c>
      <c r="K14" s="97" t="s">
        <v>1298</v>
      </c>
      <c r="L14" s="97" t="s">
        <v>38</v>
      </c>
      <c r="M14" s="97" t="s">
        <v>574</v>
      </c>
      <c r="N14" s="97" t="s">
        <v>39</v>
      </c>
      <c r="O14" s="97" t="s">
        <v>1297</v>
      </c>
      <c r="P14" s="97" t="s">
        <v>40</v>
      </c>
      <c r="Q14" s="97" t="b">
        <v>0</v>
      </c>
      <c r="R14" s="97" t="s">
        <v>41</v>
      </c>
      <c r="S14" s="97" t="s">
        <v>1299</v>
      </c>
      <c r="T14" s="97" t="s">
        <v>42</v>
      </c>
      <c r="U14" s="97" t="s">
        <v>575</v>
      </c>
      <c r="V14" s="97" t="s">
        <v>43</v>
      </c>
      <c r="W14" s="97" t="s">
        <v>1297</v>
      </c>
      <c r="X14" s="97" t="s">
        <v>44</v>
      </c>
      <c r="Y14" s="97" t="b">
        <v>1</v>
      </c>
      <c r="Z14" s="97" t="s">
        <v>45</v>
      </c>
      <c r="AA14" s="97" t="s">
        <v>1043</v>
      </c>
      <c r="AB14" s="97" t="s">
        <v>46</v>
      </c>
      <c r="AC14" s="97" t="s">
        <v>1042</v>
      </c>
      <c r="AD14" s="97" t="s">
        <v>47</v>
      </c>
      <c r="AE14" s="97" t="s">
        <v>1044</v>
      </c>
      <c r="AF14" s="97" t="s">
        <v>48</v>
      </c>
      <c r="AG14" s="97" t="b">
        <v>1</v>
      </c>
      <c r="AH14" s="97" t="s">
        <v>49</v>
      </c>
      <c r="AI14" s="97" t="s">
        <v>1045</v>
      </c>
      <c r="AJ14" s="97" t="s">
        <v>50</v>
      </c>
      <c r="AK14" s="97" t="s">
        <v>1046</v>
      </c>
      <c r="AL14" s="97" t="s">
        <v>51</v>
      </c>
      <c r="AM14" s="97" t="s">
        <v>1047</v>
      </c>
      <c r="AN14" s="97" t="s">
        <v>52</v>
      </c>
      <c r="AO14" s="97" t="b">
        <v>0</v>
      </c>
      <c r="AP14" s="97" t="s">
        <v>53</v>
      </c>
      <c r="AQ14" s="97" t="s">
        <v>564</v>
      </c>
      <c r="AR14" s="97" t="s">
        <v>54</v>
      </c>
      <c r="AS14" s="97" t="s">
        <v>576</v>
      </c>
      <c r="AT14" s="97" t="s">
        <v>55</v>
      </c>
      <c r="AU14" s="97" t="s">
        <v>580</v>
      </c>
      <c r="AV14" s="97" t="s">
        <v>56</v>
      </c>
      <c r="AW14" s="97" t="b">
        <v>1</v>
      </c>
      <c r="AX14" s="91" t="s">
        <v>57</v>
      </c>
      <c r="AZ14" s="91" t="s">
        <v>58</v>
      </c>
      <c r="BB14" s="91" t="s">
        <v>59</v>
      </c>
      <c r="BD14" s="91" t="s">
        <v>60</v>
      </c>
      <c r="BF14" s="91" t="s">
        <v>61</v>
      </c>
      <c r="BH14" s="91" t="s">
        <v>62</v>
      </c>
      <c r="BJ14" s="91" t="s">
        <v>63</v>
      </c>
      <c r="BL14" s="91" t="s">
        <v>64</v>
      </c>
    </row>
    <row r="15" spans="1:64">
      <c r="A15" s="90" t="s">
        <v>409</v>
      </c>
      <c r="B15" s="91" t="s">
        <v>402</v>
      </c>
      <c r="C15" s="91">
        <v>1</v>
      </c>
      <c r="D15" s="91" t="s">
        <v>403</v>
      </c>
      <c r="E15" s="91">
        <v>82</v>
      </c>
      <c r="F15" s="91" t="s">
        <v>406</v>
      </c>
      <c r="G15" s="91" t="s">
        <v>578</v>
      </c>
      <c r="H15" s="91" t="s">
        <v>407</v>
      </c>
      <c r="I15" s="91">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4"/>
  <sheetViews>
    <sheetView showGridLines="0" zoomScale="90" zoomScaleNormal="90" workbookViewId="0">
      <selection activeCell="P17" sqref="P17"/>
    </sheetView>
  </sheetViews>
  <sheetFormatPr defaultColWidth="9" defaultRowHeight="19.2"/>
  <cols>
    <col min="1" max="1" width="5.8984375" style="126" customWidth="1"/>
    <col min="2" max="2" width="29.8984375" style="139" customWidth="1"/>
    <col min="3" max="3" width="1.19921875" style="126" customWidth="1"/>
    <col min="4" max="11" width="9" style="126"/>
    <col min="12" max="12" width="19.5" style="126" customWidth="1"/>
    <col min="13" max="16384" width="9" style="126"/>
  </cols>
  <sheetData>
    <row r="1" spans="1:12" ht="20.25" customHeight="1">
      <c r="A1" s="275" t="s">
        <v>1200</v>
      </c>
      <c r="B1" s="275"/>
      <c r="C1" s="275"/>
      <c r="D1" s="275"/>
      <c r="E1" s="275"/>
      <c r="F1" s="275"/>
      <c r="G1" s="275"/>
      <c r="H1" s="275"/>
      <c r="I1" s="161"/>
      <c r="J1" s="270" t="s">
        <v>1267</v>
      </c>
      <c r="K1" s="270"/>
      <c r="L1" s="270"/>
    </row>
    <row r="2" spans="1:12" s="127" customFormat="1" ht="33.75" customHeight="1">
      <c r="A2" s="276"/>
      <c r="B2" s="276"/>
      <c r="C2" s="276"/>
      <c r="D2" s="276"/>
      <c r="E2" s="276"/>
      <c r="F2" s="276"/>
      <c r="G2" s="276"/>
      <c r="H2" s="276"/>
      <c r="I2" s="271" t="s">
        <v>1201</v>
      </c>
      <c r="J2" s="271"/>
      <c r="K2" s="271"/>
      <c r="L2" s="271"/>
    </row>
    <row r="4" spans="1:12" ht="17.25" customHeight="1">
      <c r="B4" s="272" t="s">
        <v>550</v>
      </c>
      <c r="C4" s="272"/>
      <c r="D4" s="272"/>
      <c r="E4" s="272"/>
      <c r="F4" s="272"/>
      <c r="G4" s="272"/>
      <c r="H4" s="272"/>
      <c r="I4" s="272"/>
      <c r="J4" s="272"/>
      <c r="K4" s="272"/>
      <c r="L4" s="272"/>
    </row>
    <row r="5" spans="1:12" ht="27.75" customHeight="1">
      <c r="B5" s="272"/>
      <c r="C5" s="272"/>
      <c r="D5" s="272"/>
      <c r="E5" s="272"/>
      <c r="F5" s="272"/>
      <c r="G5" s="272"/>
      <c r="H5" s="272"/>
      <c r="I5" s="272"/>
      <c r="J5" s="272"/>
      <c r="K5" s="272"/>
      <c r="L5" s="272"/>
    </row>
    <row r="6" spans="1:12" s="127" customFormat="1" ht="15.6">
      <c r="B6" s="140"/>
    </row>
    <row r="7" spans="1:12" s="127" customFormat="1" ht="21">
      <c r="B7" s="179" t="s">
        <v>552</v>
      </c>
      <c r="D7" s="128"/>
    </row>
    <row r="8" spans="1:12" s="127" customFormat="1" ht="7.5" customHeight="1">
      <c r="B8" s="140"/>
    </row>
    <row r="9" spans="1:12" s="127" customFormat="1" ht="27.75" customHeight="1" thickBot="1">
      <c r="A9" s="129"/>
      <c r="B9" s="136" t="s">
        <v>545</v>
      </c>
      <c r="C9" s="129"/>
      <c r="D9" s="274" t="s">
        <v>553</v>
      </c>
      <c r="E9" s="274"/>
      <c r="F9" s="274"/>
      <c r="G9" s="274"/>
      <c r="H9" s="274"/>
      <c r="I9" s="274"/>
      <c r="J9" s="274"/>
      <c r="K9" s="274"/>
      <c r="L9" s="274"/>
    </row>
    <row r="10" spans="1:12" s="127" customFormat="1" ht="27.75" customHeight="1" thickTop="1" thickBot="1">
      <c r="A10" s="129"/>
      <c r="B10" s="135" t="s">
        <v>546</v>
      </c>
      <c r="C10" s="129"/>
      <c r="D10" s="274" t="s">
        <v>1398</v>
      </c>
      <c r="E10" s="274"/>
      <c r="F10" s="274"/>
      <c r="G10" s="274"/>
      <c r="H10" s="274"/>
      <c r="I10" s="274"/>
      <c r="J10" s="274"/>
      <c r="K10" s="274"/>
      <c r="L10" s="274"/>
    </row>
    <row r="11" spans="1:12" s="127" customFormat="1" ht="27.75" customHeight="1" thickTop="1" thickBot="1">
      <c r="A11" s="129"/>
      <c r="B11" s="172" t="s">
        <v>547</v>
      </c>
      <c r="C11" s="129"/>
      <c r="D11" s="274" t="s">
        <v>1399</v>
      </c>
      <c r="E11" s="274"/>
      <c r="F11" s="274"/>
      <c r="G11" s="274"/>
      <c r="H11" s="274"/>
      <c r="I11" s="274"/>
      <c r="J11" s="274"/>
      <c r="K11" s="274"/>
      <c r="L11" s="274"/>
    </row>
    <row r="12" spans="1:12" s="127" customFormat="1" ht="27.75" customHeight="1" thickTop="1" thickBot="1">
      <c r="A12" s="129"/>
      <c r="B12" s="173" t="s">
        <v>548</v>
      </c>
      <c r="C12" s="129"/>
      <c r="D12" s="274" t="s">
        <v>1400</v>
      </c>
      <c r="E12" s="274"/>
      <c r="F12" s="274"/>
      <c r="G12" s="274"/>
      <c r="H12" s="274"/>
      <c r="I12" s="274"/>
      <c r="J12" s="274"/>
      <c r="K12" s="274"/>
      <c r="L12" s="274"/>
    </row>
    <row r="13" spans="1:12" s="127" customFormat="1" ht="27.75" customHeight="1" thickTop="1" thickBot="1">
      <c r="A13" s="129"/>
      <c r="B13" s="132" t="s">
        <v>1171</v>
      </c>
      <c r="C13" s="129"/>
      <c r="D13" s="274" t="s">
        <v>1403</v>
      </c>
      <c r="E13" s="274"/>
      <c r="F13" s="274"/>
      <c r="G13" s="274"/>
      <c r="H13" s="274"/>
      <c r="I13" s="274"/>
      <c r="J13" s="274"/>
      <c r="K13" s="274"/>
      <c r="L13" s="274"/>
    </row>
    <row r="14" spans="1:12" s="127" customFormat="1" ht="27.75" customHeight="1" thickTop="1" thickBot="1">
      <c r="A14" s="129"/>
      <c r="B14" s="132" t="s">
        <v>1049</v>
      </c>
      <c r="C14" s="129"/>
      <c r="D14" s="273" t="s">
        <v>1401</v>
      </c>
      <c r="E14" s="273"/>
      <c r="F14" s="273"/>
      <c r="G14" s="273"/>
      <c r="H14" s="273"/>
      <c r="I14" s="273"/>
      <c r="J14" s="273"/>
      <c r="K14" s="273"/>
      <c r="L14" s="273"/>
    </row>
    <row r="15" spans="1:12" s="127" customFormat="1" ht="27.75" customHeight="1" thickTop="1" thickBot="1">
      <c r="A15" s="129"/>
      <c r="B15" s="133" t="s">
        <v>549</v>
      </c>
      <c r="C15" s="129"/>
      <c r="D15" s="274" t="s">
        <v>558</v>
      </c>
      <c r="E15" s="274"/>
      <c r="F15" s="274"/>
      <c r="G15" s="274"/>
      <c r="H15" s="274"/>
      <c r="I15" s="274"/>
      <c r="J15" s="274"/>
      <c r="K15" s="274"/>
      <c r="L15" s="274"/>
    </row>
    <row r="16" spans="1:12" ht="19.8" thickTop="1">
      <c r="A16" s="130"/>
      <c r="B16" s="142"/>
      <c r="C16" s="130"/>
      <c r="D16" s="131"/>
      <c r="E16" s="131"/>
      <c r="F16" s="131"/>
      <c r="G16" s="131"/>
      <c r="H16" s="131"/>
      <c r="I16" s="131"/>
      <c r="J16" s="131"/>
      <c r="K16" s="131"/>
      <c r="L16" s="131"/>
    </row>
    <row r="17" spans="2:12" s="127" customFormat="1" ht="21">
      <c r="B17" s="179" t="s">
        <v>551</v>
      </c>
      <c r="D17" s="128"/>
    </row>
    <row r="18" spans="2:12" s="127" customFormat="1" ht="5.25" customHeight="1">
      <c r="B18" s="141"/>
      <c r="D18" s="128"/>
    </row>
    <row r="19" spans="2:12" s="127" customFormat="1" ht="24.75" customHeight="1" thickBot="1">
      <c r="B19" s="171" t="s">
        <v>555</v>
      </c>
      <c r="D19" s="268" t="s">
        <v>556</v>
      </c>
      <c r="E19" s="268"/>
      <c r="F19" s="268"/>
      <c r="G19" s="268"/>
      <c r="H19" s="268"/>
      <c r="I19" s="268"/>
      <c r="J19" s="268"/>
      <c r="K19" s="268"/>
      <c r="L19" s="134" t="s">
        <v>1187</v>
      </c>
    </row>
    <row r="20" spans="2:12" s="127" customFormat="1" ht="41.25" customHeight="1" thickTop="1" thickBot="1">
      <c r="B20" s="171" t="s">
        <v>554</v>
      </c>
      <c r="D20" s="268" t="s">
        <v>557</v>
      </c>
      <c r="E20" s="268"/>
      <c r="F20" s="268"/>
      <c r="G20" s="268"/>
      <c r="H20" s="268"/>
      <c r="I20" s="268"/>
      <c r="J20" s="268"/>
      <c r="K20" s="268"/>
      <c r="L20" s="174" t="s">
        <v>1186</v>
      </c>
    </row>
    <row r="21" spans="2:12" s="127" customFormat="1" ht="37.5" customHeight="1" thickTop="1" thickBot="1">
      <c r="B21" s="171" t="s">
        <v>592</v>
      </c>
      <c r="D21" s="268" t="s">
        <v>1188</v>
      </c>
      <c r="E21" s="268"/>
      <c r="F21" s="268"/>
      <c r="G21" s="268"/>
      <c r="H21" s="268"/>
      <c r="I21" s="268"/>
      <c r="J21" s="268"/>
      <c r="K21" s="268"/>
      <c r="L21" s="174" t="s">
        <v>1186</v>
      </c>
    </row>
    <row r="22" spans="2:12" s="127" customFormat="1" ht="41.25" customHeight="1" thickTop="1" thickBot="1">
      <c r="B22" s="171" t="s">
        <v>593</v>
      </c>
      <c r="D22" s="268" t="s">
        <v>1198</v>
      </c>
      <c r="E22" s="268"/>
      <c r="F22" s="268"/>
      <c r="G22" s="268"/>
      <c r="H22" s="268"/>
      <c r="I22" s="268"/>
      <c r="J22" s="268"/>
      <c r="K22" s="268"/>
      <c r="L22" s="174" t="s">
        <v>1186</v>
      </c>
    </row>
    <row r="23" spans="2:12" s="127" customFormat="1" ht="36" customHeight="1" thickTop="1" thickBot="1">
      <c r="B23" s="171" t="s">
        <v>594</v>
      </c>
      <c r="D23" s="268" t="s">
        <v>1189</v>
      </c>
      <c r="E23" s="268"/>
      <c r="F23" s="268"/>
      <c r="G23" s="268"/>
      <c r="H23" s="268"/>
      <c r="I23" s="268"/>
      <c r="J23" s="268"/>
      <c r="K23" s="268"/>
      <c r="L23" s="174" t="s">
        <v>1186</v>
      </c>
    </row>
    <row r="24" spans="2:12" s="127" customFormat="1" ht="52.5" customHeight="1" thickTop="1" thickBot="1">
      <c r="B24" s="171" t="s">
        <v>596</v>
      </c>
      <c r="D24" s="268" t="s">
        <v>1190</v>
      </c>
      <c r="E24" s="268"/>
      <c r="F24" s="268"/>
      <c r="G24" s="268"/>
      <c r="H24" s="268"/>
      <c r="I24" s="268"/>
      <c r="J24" s="268"/>
      <c r="K24" s="268"/>
      <c r="L24" s="174" t="s">
        <v>1186</v>
      </c>
    </row>
    <row r="25" spans="2:12" s="127" customFormat="1" ht="57" customHeight="1" thickTop="1" thickBot="1">
      <c r="B25" s="171" t="s">
        <v>597</v>
      </c>
      <c r="D25" s="268" t="s">
        <v>1191</v>
      </c>
      <c r="E25" s="268"/>
      <c r="F25" s="268"/>
      <c r="G25" s="268"/>
      <c r="H25" s="268"/>
      <c r="I25" s="268"/>
      <c r="J25" s="268"/>
      <c r="K25" s="268"/>
      <c r="L25" s="174" t="s">
        <v>1186</v>
      </c>
    </row>
    <row r="26" spans="2:12" s="127" customFormat="1" ht="48.75" customHeight="1" thickTop="1" thickBot="1">
      <c r="B26" s="171" t="s">
        <v>598</v>
      </c>
      <c r="D26" s="268" t="s">
        <v>1192</v>
      </c>
      <c r="E26" s="268"/>
      <c r="F26" s="268"/>
      <c r="G26" s="268"/>
      <c r="H26" s="268"/>
      <c r="I26" s="268"/>
      <c r="J26" s="268"/>
      <c r="K26" s="268"/>
      <c r="L26" s="174" t="s">
        <v>1186</v>
      </c>
    </row>
    <row r="27" spans="2:12" s="127" customFormat="1" ht="43.5" customHeight="1" thickTop="1" thickBot="1">
      <c r="B27" s="171" t="s">
        <v>599</v>
      </c>
      <c r="D27" s="268" t="s">
        <v>1193</v>
      </c>
      <c r="E27" s="268"/>
      <c r="F27" s="268"/>
      <c r="G27" s="268"/>
      <c r="H27" s="268"/>
      <c r="I27" s="268"/>
      <c r="J27" s="268"/>
      <c r="K27" s="268"/>
      <c r="L27" s="174" t="s">
        <v>1186</v>
      </c>
    </row>
    <row r="28" spans="2:12" s="127" customFormat="1" ht="43.5" customHeight="1" thickTop="1" thickBot="1">
      <c r="B28" s="171" t="s">
        <v>600</v>
      </c>
      <c r="D28" s="268" t="s">
        <v>1194</v>
      </c>
      <c r="E28" s="268"/>
      <c r="F28" s="268"/>
      <c r="G28" s="268"/>
      <c r="H28" s="268"/>
      <c r="I28" s="268"/>
      <c r="J28" s="268"/>
      <c r="K28" s="268"/>
      <c r="L28" s="174" t="s">
        <v>1186</v>
      </c>
    </row>
    <row r="29" spans="2:12" s="127" customFormat="1" ht="50.25" customHeight="1" thickTop="1" thickBot="1">
      <c r="B29" s="171" t="s">
        <v>602</v>
      </c>
      <c r="D29" s="268" t="s">
        <v>1199</v>
      </c>
      <c r="E29" s="268"/>
      <c r="F29" s="268"/>
      <c r="G29" s="268"/>
      <c r="H29" s="268"/>
      <c r="I29" s="268"/>
      <c r="J29" s="268"/>
      <c r="K29" s="268"/>
      <c r="L29" s="174" t="s">
        <v>1186</v>
      </c>
    </row>
    <row r="30" spans="2:12" s="127" customFormat="1" ht="57.75" customHeight="1" thickTop="1" thickBot="1">
      <c r="B30" s="171" t="s">
        <v>601</v>
      </c>
      <c r="D30" s="268" t="s">
        <v>1195</v>
      </c>
      <c r="E30" s="268"/>
      <c r="F30" s="268"/>
      <c r="G30" s="268"/>
      <c r="H30" s="268"/>
      <c r="I30" s="268"/>
      <c r="J30" s="268"/>
      <c r="K30" s="268"/>
      <c r="L30" s="174" t="s">
        <v>1186</v>
      </c>
    </row>
    <row r="31" spans="2:12" s="127" customFormat="1" ht="67.5" customHeight="1" thickTop="1" thickBot="1">
      <c r="B31" s="171" t="s">
        <v>1197</v>
      </c>
      <c r="D31" s="268" t="s">
        <v>1397</v>
      </c>
      <c r="E31" s="268"/>
      <c r="F31" s="268"/>
      <c r="G31" s="268"/>
      <c r="H31" s="268"/>
      <c r="I31" s="268"/>
      <c r="J31" s="268"/>
      <c r="K31" s="268"/>
      <c r="L31" s="174" t="s">
        <v>1186</v>
      </c>
    </row>
    <row r="32" spans="2:12" s="127" customFormat="1" ht="18" thickTop="1">
      <c r="B32" s="143"/>
      <c r="D32" s="128"/>
      <c r="L32" s="129"/>
    </row>
    <row r="33" spans="2:12" s="127" customFormat="1" ht="18.75" customHeight="1">
      <c r="B33" s="175" t="s">
        <v>1402</v>
      </c>
      <c r="C33" s="176"/>
      <c r="D33" s="177"/>
      <c r="E33" s="176"/>
      <c r="F33" s="176"/>
      <c r="G33" s="176"/>
      <c r="H33" s="176"/>
      <c r="I33" s="176"/>
      <c r="J33" s="176"/>
      <c r="K33" s="176"/>
      <c r="L33" s="178"/>
    </row>
    <row r="34" spans="2:12" s="127" customFormat="1" ht="59.25" customHeight="1">
      <c r="B34" s="269" t="s">
        <v>1196</v>
      </c>
      <c r="C34" s="269"/>
      <c r="D34" s="269"/>
      <c r="E34" s="269"/>
      <c r="F34" s="269"/>
      <c r="G34" s="269"/>
      <c r="H34" s="269"/>
      <c r="I34" s="269"/>
      <c r="J34" s="269"/>
      <c r="K34" s="269"/>
      <c r="L34" s="269"/>
    </row>
  </sheetData>
  <mergeCells count="25">
    <mergeCell ref="D23:K23"/>
    <mergeCell ref="D26:K26"/>
    <mergeCell ref="D27:K27"/>
    <mergeCell ref="D28:K28"/>
    <mergeCell ref="D11:L11"/>
    <mergeCell ref="D12:L12"/>
    <mergeCell ref="D15:L15"/>
    <mergeCell ref="D13:L13"/>
    <mergeCell ref="D24:K24"/>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A1:H2"/>
    <mergeCell ref="D25:K25"/>
  </mergeCells>
  <phoneticPr fontId="2" type="noConversion"/>
  <hyperlinks>
    <hyperlink ref="B9" location="Schedule!A1" display="Schedule" xr:uid="{00000000-0004-0000-0200-000000000000}"/>
    <hyperlink ref="B10" location="Progress!A1" display="Progress" xr:uid="{00000000-0004-0000-0200-000001000000}"/>
    <hyperlink ref="J1" r:id="rId1" display="ⓒXLWorks" xr:uid="{00000000-0004-0000-0200-000003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2" display="도움말 링크" xr:uid="{00000000-0004-0000-0200-000009000000}"/>
    <hyperlink ref="L20" r:id="rId3" xr:uid="{00000000-0004-0000-0200-00000A000000}"/>
    <hyperlink ref="L21" r:id="rId4" xr:uid="{00000000-0004-0000-0200-00000B000000}"/>
    <hyperlink ref="L23" r:id="rId5" xr:uid="{00000000-0004-0000-0200-00000D000000}"/>
    <hyperlink ref="L24" r:id="rId6" xr:uid="{00000000-0004-0000-0200-00000E000000}"/>
    <hyperlink ref="L25" r:id="rId7" xr:uid="{00000000-0004-0000-0200-00000F000000}"/>
    <hyperlink ref="I2" r:id="rId8" display="최신 버전 다운로드 https://xlworks.net" xr:uid="{00000000-0004-0000-0200-000011000000}"/>
    <hyperlink ref="L26" r:id="rId9" xr:uid="{423DE1E1-7322-43C8-884A-3985C3D42DBA}"/>
    <hyperlink ref="L27" r:id="rId10" xr:uid="{28BAD743-7265-4620-97AC-8124DB0B1D7C}"/>
    <hyperlink ref="L28" r:id="rId11" xr:uid="{E14A75FF-521C-422B-9FE7-980188152BB9}"/>
    <hyperlink ref="L29" r:id="rId12" xr:uid="{0FB2DC2E-E56F-4E03-A2CF-500B3745E3EA}"/>
    <hyperlink ref="L30" r:id="rId13" xr:uid="{CCBF42A0-CEAA-4863-8CEE-5A42FF6A85B1}"/>
    <hyperlink ref="L22" r:id="rId14" xr:uid="{00000000-0004-0000-0200-00000C000000}"/>
    <hyperlink ref="L31" r:id="rId15" xr:uid="{26788545-63B4-4141-A001-034A938CA870}"/>
    <hyperlink ref="B12" location="Calendar!A1" display="Calendar" xr:uid="{AE45EC12-A6C9-4053-B73A-1BB77F452809}"/>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RR55"/>
  <sheetViews>
    <sheetView tabSelected="1" zoomScale="85" zoomScaleNormal="85" zoomScalePageLayoutView="55" workbookViewId="0">
      <pane ySplit="4" topLeftCell="A5" activePane="bottomLeft" state="frozen"/>
      <selection activeCell="E5" sqref="E5"/>
      <selection pane="bottomLeft" activeCell="Q5" sqref="Q5"/>
    </sheetView>
  </sheetViews>
  <sheetFormatPr defaultColWidth="10" defaultRowHeight="12" outlineLevelRow="3"/>
  <cols>
    <col min="1" max="2" width="9" style="102" hidden="1" customWidth="1"/>
    <col min="3" max="3" width="8.3984375" style="102" hidden="1" customWidth="1"/>
    <col min="4" max="4" width="12.69921875" style="1" customWidth="1"/>
    <col min="5" max="13" width="2.69921875" style="2" customWidth="1"/>
    <col min="14" max="14" width="4.5" style="2" bestFit="1" customWidth="1"/>
    <col min="15" max="15" width="5.19921875" style="2" bestFit="1" customWidth="1"/>
    <col min="16" max="17" width="8.5" style="3" bestFit="1" customWidth="1"/>
    <col min="18" max="18" width="7.59765625" style="4" customWidth="1"/>
    <col min="19" max="19" width="6" style="5" bestFit="1" customWidth="1"/>
    <col min="20" max="20" width="4.5" style="5" bestFit="1" customWidth="1"/>
    <col min="21" max="22" width="4.5" style="6" bestFit="1" customWidth="1"/>
    <col min="23" max="24" width="8.5" style="3" hidden="1" customWidth="1"/>
    <col min="25" max="25" width="7.5" style="7" hidden="1" customWidth="1"/>
    <col min="26" max="26" width="6" style="8" hidden="1" customWidth="1"/>
    <col min="27" max="27" width="6" style="9" bestFit="1" customWidth="1"/>
    <col min="28" max="28" width="11" style="4" bestFit="1" customWidth="1"/>
    <col min="29" max="29" width="6" style="10" bestFit="1" customWidth="1"/>
    <col min="30" max="30" width="6.69921875" style="11" bestFit="1" customWidth="1"/>
    <col min="31" max="31" width="7.19921875" style="12" customWidth="1"/>
    <col min="32" max="486" width="1.8984375" style="101" customWidth="1"/>
    <col min="487" max="16384" width="10" style="101"/>
  </cols>
  <sheetData>
    <row r="1" spans="1:486" s="182" customFormat="1" ht="20.100000000000001" customHeight="1">
      <c r="A1" s="103"/>
      <c r="B1" s="113"/>
      <c r="C1" s="104"/>
      <c r="D1" s="105" t="e">
        <f ca="1">xlgantt.ProjectName()</f>
        <v>#NAME?</v>
      </c>
      <c r="E1" s="106"/>
      <c r="F1" s="106"/>
      <c r="G1" s="106"/>
      <c r="H1" s="106"/>
      <c r="I1" s="106"/>
      <c r="J1" s="106"/>
      <c r="K1" s="106"/>
      <c r="L1" s="106"/>
      <c r="M1" s="106"/>
      <c r="N1" s="106"/>
      <c r="O1" s="106"/>
      <c r="P1" s="106"/>
      <c r="Q1" s="107"/>
      <c r="R1" s="108"/>
      <c r="S1" s="109"/>
      <c r="T1" s="110"/>
      <c r="U1" s="111"/>
      <c r="V1" s="111"/>
      <c r="W1" s="112"/>
      <c r="X1" s="112"/>
      <c r="Y1" s="113"/>
      <c r="Z1" s="114"/>
      <c r="AA1" s="115"/>
      <c r="AB1" s="116"/>
      <c r="AC1" s="117"/>
      <c r="AD1" s="118"/>
      <c r="AE1" s="119" t="e">
        <f ca="1">xlgantt.ProjectProgressString()</f>
        <v>#NAME?</v>
      </c>
      <c r="AF1" s="183" t="s">
        <v>1247</v>
      </c>
    </row>
    <row r="2" spans="1:486" s="182" customFormat="1" ht="15" customHeight="1">
      <c r="A2" s="120"/>
      <c r="B2" s="120"/>
      <c r="C2" s="121"/>
      <c r="D2" s="281"/>
      <c r="E2" s="281"/>
      <c r="F2" s="281"/>
      <c r="G2" s="122"/>
      <c r="H2" s="123"/>
      <c r="I2" s="122"/>
      <c r="J2" s="122"/>
      <c r="K2" s="122"/>
      <c r="L2" s="122"/>
      <c r="M2" s="122"/>
      <c r="N2" s="122"/>
      <c r="O2" s="122"/>
      <c r="P2" s="122"/>
      <c r="Q2" s="122"/>
      <c r="R2" s="122"/>
      <c r="S2" s="122"/>
      <c r="T2" s="122"/>
      <c r="U2" s="122"/>
      <c r="V2" s="122"/>
      <c r="W2" s="122"/>
      <c r="X2" s="122"/>
      <c r="Y2" s="122"/>
      <c r="Z2" s="122"/>
      <c r="AA2" s="122"/>
      <c r="AB2" s="122"/>
      <c r="AC2" s="124"/>
      <c r="AD2" s="125"/>
      <c r="AE2" s="122" t="e">
        <f ca="1">xlgantt.CommentOnHeadArea()</f>
        <v>#NAME?</v>
      </c>
      <c r="AF2" s="184" t="s">
        <v>1395</v>
      </c>
    </row>
    <row r="3" spans="1:486" s="160" customFormat="1" ht="18.899999999999999" customHeight="1">
      <c r="A3" s="287" t="s">
        <v>579</v>
      </c>
      <c r="B3" s="289" t="s">
        <v>571</v>
      </c>
      <c r="C3" s="291" t="s">
        <v>581</v>
      </c>
      <c r="D3" s="292" t="s">
        <v>572</v>
      </c>
      <c r="E3" s="293" t="s">
        <v>1130</v>
      </c>
      <c r="F3" s="294"/>
      <c r="G3" s="294"/>
      <c r="H3" s="294"/>
      <c r="I3" s="294"/>
      <c r="J3" s="294"/>
      <c r="K3" s="294"/>
      <c r="L3" s="294"/>
      <c r="M3" s="294"/>
      <c r="N3" s="294"/>
      <c r="O3" s="282" t="s">
        <v>1131</v>
      </c>
      <c r="P3" s="283" t="s">
        <v>1132</v>
      </c>
      <c r="Q3" s="283" t="s">
        <v>1133</v>
      </c>
      <c r="R3" s="285" t="s">
        <v>573</v>
      </c>
      <c r="S3" s="284" t="s">
        <v>1134</v>
      </c>
      <c r="T3" s="295" t="s">
        <v>1135</v>
      </c>
      <c r="U3" s="297" t="s">
        <v>1136</v>
      </c>
      <c r="V3" s="297" t="s">
        <v>1137</v>
      </c>
      <c r="W3" s="296" t="s">
        <v>1138</v>
      </c>
      <c r="X3" s="296" t="s">
        <v>1139</v>
      </c>
      <c r="Y3" s="300" t="s">
        <v>1140</v>
      </c>
      <c r="Z3" s="299" t="s">
        <v>1141</v>
      </c>
      <c r="AA3" s="280" t="s">
        <v>1142</v>
      </c>
      <c r="AB3" s="283" t="s">
        <v>1143</v>
      </c>
      <c r="AC3" s="289" t="s">
        <v>1144</v>
      </c>
      <c r="AD3" s="298" t="s">
        <v>1145</v>
      </c>
      <c r="AE3" s="286" t="s">
        <v>1146</v>
      </c>
      <c r="AF3" s="301" t="s">
        <v>1414</v>
      </c>
      <c r="AG3" s="278"/>
      <c r="AH3" s="278"/>
      <c r="AI3" s="278"/>
      <c r="AJ3" s="277" t="s">
        <v>1415</v>
      </c>
      <c r="AK3" s="278"/>
      <c r="AL3" s="278"/>
      <c r="AM3" s="278"/>
      <c r="AN3" s="277" t="s">
        <v>1416</v>
      </c>
      <c r="AO3" s="278"/>
      <c r="AP3" s="278"/>
      <c r="AQ3" s="278"/>
      <c r="AR3" s="277" t="s">
        <v>1417</v>
      </c>
      <c r="AS3" s="278"/>
      <c r="AT3" s="278"/>
      <c r="AU3" s="278"/>
      <c r="AV3" s="277" t="s">
        <v>1418</v>
      </c>
      <c r="AW3" s="278"/>
      <c r="AX3" s="278"/>
      <c r="AY3" s="278"/>
      <c r="AZ3" s="277" t="s">
        <v>1419</v>
      </c>
      <c r="BA3" s="278"/>
      <c r="BB3" s="278"/>
      <c r="BC3" s="278"/>
      <c r="BD3" s="277" t="s">
        <v>1420</v>
      </c>
      <c r="BE3" s="278"/>
      <c r="BF3" s="278"/>
      <c r="BG3" s="278"/>
      <c r="BH3" s="277" t="s">
        <v>1421</v>
      </c>
      <c r="BI3" s="278"/>
      <c r="BJ3" s="278"/>
      <c r="BK3" s="278"/>
      <c r="BL3" s="277" t="s">
        <v>1422</v>
      </c>
      <c r="BM3" s="278"/>
      <c r="BN3" s="278"/>
      <c r="BO3" s="278"/>
      <c r="BP3" s="277" t="s">
        <v>1423</v>
      </c>
      <c r="BQ3" s="278"/>
      <c r="BR3" s="278"/>
      <c r="BS3" s="278"/>
      <c r="BT3" s="277" t="s">
        <v>1424</v>
      </c>
      <c r="BU3" s="278"/>
      <c r="BV3" s="278"/>
      <c r="BW3" s="278"/>
      <c r="BX3" s="277" t="s">
        <v>1425</v>
      </c>
      <c r="BY3" s="278"/>
      <c r="BZ3" s="278"/>
      <c r="CA3" s="278"/>
      <c r="CB3" s="277" t="s">
        <v>1426</v>
      </c>
      <c r="CC3" s="278"/>
      <c r="CD3" s="278"/>
      <c r="CE3" s="278"/>
      <c r="CF3" s="277" t="s">
        <v>1427</v>
      </c>
      <c r="CG3" s="278"/>
      <c r="CH3" s="278"/>
      <c r="CI3" s="278"/>
      <c r="CJ3" s="277" t="s">
        <v>1428</v>
      </c>
      <c r="CK3" s="278"/>
      <c r="CL3" s="278"/>
      <c r="CM3" s="278"/>
      <c r="CN3" s="277" t="s">
        <v>1429</v>
      </c>
      <c r="CO3" s="278"/>
      <c r="CP3" s="278"/>
      <c r="CQ3" s="278"/>
      <c r="CR3" s="277" t="s">
        <v>1430</v>
      </c>
      <c r="CS3" s="278"/>
      <c r="CT3" s="278"/>
      <c r="CU3" s="279"/>
    </row>
    <row r="4" spans="1:486" s="138" customFormat="1" ht="6" customHeight="1">
      <c r="A4" s="288"/>
      <c r="B4" s="290"/>
      <c r="C4" s="287"/>
      <c r="D4" s="292"/>
      <c r="E4" s="293"/>
      <c r="F4" s="294"/>
      <c r="G4" s="294"/>
      <c r="H4" s="294"/>
      <c r="I4" s="294"/>
      <c r="J4" s="294"/>
      <c r="K4" s="294"/>
      <c r="L4" s="294"/>
      <c r="M4" s="294"/>
      <c r="N4" s="294"/>
      <c r="O4" s="283"/>
      <c r="P4" s="283"/>
      <c r="Q4" s="283"/>
      <c r="R4" s="285"/>
      <c r="S4" s="284"/>
      <c r="T4" s="295"/>
      <c r="U4" s="297"/>
      <c r="V4" s="297"/>
      <c r="W4" s="283"/>
      <c r="X4" s="283"/>
      <c r="Y4" s="300"/>
      <c r="Z4" s="299"/>
      <c r="AA4" s="280"/>
      <c r="AB4" s="283"/>
      <c r="AC4" s="289"/>
      <c r="AD4" s="298"/>
      <c r="AE4" s="286"/>
      <c r="AF4" s="180">
        <v>43716</v>
      </c>
      <c r="AG4" s="181">
        <v>43723</v>
      </c>
      <c r="AH4" s="181">
        <v>43730</v>
      </c>
      <c r="AI4" s="181">
        <v>43737</v>
      </c>
      <c r="AJ4" s="181">
        <v>43744</v>
      </c>
      <c r="AK4" s="181">
        <v>43751</v>
      </c>
      <c r="AL4" s="181">
        <v>43758</v>
      </c>
      <c r="AM4" s="181">
        <v>43765</v>
      </c>
      <c r="AN4" s="181">
        <v>43772</v>
      </c>
      <c r="AO4" s="181">
        <v>43779</v>
      </c>
      <c r="AP4" s="181">
        <v>43786</v>
      </c>
      <c r="AQ4" s="181">
        <v>43793</v>
      </c>
      <c r="AR4" s="181">
        <v>43800</v>
      </c>
      <c r="AS4" s="181">
        <v>43807</v>
      </c>
      <c r="AT4" s="181">
        <v>43814</v>
      </c>
      <c r="AU4" s="181">
        <v>43821</v>
      </c>
      <c r="AV4" s="181">
        <v>43828</v>
      </c>
      <c r="AW4" s="181">
        <v>43835</v>
      </c>
      <c r="AX4" s="181">
        <v>43842</v>
      </c>
      <c r="AY4" s="181">
        <v>43849</v>
      </c>
      <c r="AZ4" s="181">
        <v>43856</v>
      </c>
      <c r="BA4" s="181">
        <v>43863</v>
      </c>
      <c r="BB4" s="181">
        <v>43870</v>
      </c>
      <c r="BC4" s="181">
        <v>43877</v>
      </c>
      <c r="BD4" s="181">
        <v>43884</v>
      </c>
      <c r="BE4" s="181">
        <v>43891</v>
      </c>
      <c r="BF4" s="181">
        <v>43898</v>
      </c>
      <c r="BG4" s="181">
        <v>43905</v>
      </c>
      <c r="BH4" s="181">
        <v>43912</v>
      </c>
      <c r="BI4" s="181">
        <v>43919</v>
      </c>
      <c r="BJ4" s="181">
        <v>43926</v>
      </c>
      <c r="BK4" s="181">
        <v>43933</v>
      </c>
      <c r="BL4" s="181">
        <v>43940</v>
      </c>
      <c r="BM4" s="181">
        <v>43947</v>
      </c>
      <c r="BN4" s="181">
        <v>43954</v>
      </c>
      <c r="BO4" s="181">
        <v>43961</v>
      </c>
      <c r="BP4" s="181">
        <v>43968</v>
      </c>
      <c r="BQ4" s="181">
        <v>43975</v>
      </c>
      <c r="BR4" s="181">
        <v>43982</v>
      </c>
      <c r="BS4" s="181">
        <v>43989</v>
      </c>
      <c r="BT4" s="181">
        <v>43996</v>
      </c>
      <c r="BU4" s="181">
        <v>44003</v>
      </c>
      <c r="BV4" s="181">
        <v>44010</v>
      </c>
      <c r="BW4" s="181">
        <v>44017</v>
      </c>
      <c r="BX4" s="181">
        <v>44024</v>
      </c>
      <c r="BY4" s="181">
        <v>44031</v>
      </c>
      <c r="BZ4" s="181">
        <v>44038</v>
      </c>
      <c r="CA4" s="181">
        <v>44045</v>
      </c>
      <c r="CB4" s="181">
        <v>44052</v>
      </c>
      <c r="CC4" s="181">
        <v>44059</v>
      </c>
      <c r="CD4" s="181">
        <v>44066</v>
      </c>
      <c r="CE4" s="181">
        <v>44073</v>
      </c>
      <c r="CF4" s="181">
        <v>44080</v>
      </c>
      <c r="CG4" s="181">
        <v>44087</v>
      </c>
      <c r="CH4" s="181">
        <v>44094</v>
      </c>
      <c r="CI4" s="181">
        <v>44101</v>
      </c>
      <c r="CJ4" s="181">
        <v>44108</v>
      </c>
      <c r="CK4" s="181">
        <v>44115</v>
      </c>
      <c r="CL4" s="181">
        <v>44122</v>
      </c>
      <c r="CM4" s="181">
        <v>44129</v>
      </c>
      <c r="CN4" s="181">
        <v>44136</v>
      </c>
      <c r="CO4" s="181">
        <v>44143</v>
      </c>
      <c r="CP4" s="181">
        <v>44150</v>
      </c>
      <c r="CQ4" s="181">
        <v>44157</v>
      </c>
      <c r="CR4" s="181">
        <v>44164</v>
      </c>
      <c r="CS4" s="235"/>
      <c r="CT4" s="235"/>
      <c r="CU4" s="236"/>
      <c r="CV4" s="193"/>
      <c r="CW4" s="193"/>
      <c r="CX4" s="193"/>
      <c r="CY4" s="193"/>
      <c r="CZ4" s="193"/>
      <c r="DA4" s="193"/>
      <c r="DB4" s="193"/>
      <c r="DC4" s="193"/>
      <c r="DD4" s="193"/>
      <c r="DE4" s="193"/>
      <c r="DF4" s="193"/>
      <c r="DG4" s="193"/>
      <c r="DH4" s="193"/>
      <c r="DI4" s="193"/>
      <c r="DJ4" s="193"/>
      <c r="DK4" s="193"/>
      <c r="DL4" s="193"/>
      <c r="DM4" s="193"/>
      <c r="DN4" s="193"/>
      <c r="DO4" s="193"/>
      <c r="DP4" s="193"/>
      <c r="DQ4" s="193"/>
      <c r="DR4" s="193"/>
      <c r="DS4" s="193"/>
      <c r="DT4" s="193"/>
      <c r="DU4" s="193"/>
      <c r="DV4" s="193"/>
      <c r="DW4" s="193"/>
      <c r="DX4" s="193"/>
      <c r="DY4" s="193"/>
      <c r="DZ4" s="193"/>
      <c r="EA4" s="193"/>
      <c r="EB4" s="193"/>
      <c r="EC4" s="193"/>
      <c r="ED4" s="193"/>
      <c r="EE4" s="193"/>
      <c r="EF4" s="193"/>
      <c r="EG4" s="193"/>
      <c r="EH4" s="193"/>
      <c r="EI4" s="193"/>
      <c r="EJ4" s="193"/>
      <c r="EK4" s="193"/>
      <c r="EL4" s="193"/>
      <c r="EM4" s="193"/>
      <c r="EN4" s="193"/>
      <c r="EO4" s="193"/>
      <c r="EP4" s="193"/>
      <c r="EQ4" s="193"/>
      <c r="ER4" s="193"/>
      <c r="ES4" s="193"/>
      <c r="ET4" s="193"/>
      <c r="EU4" s="193"/>
      <c r="EV4" s="193"/>
      <c r="EW4" s="193"/>
      <c r="EX4" s="193"/>
      <c r="EY4" s="193"/>
      <c r="EZ4" s="193"/>
      <c r="FA4" s="193"/>
      <c r="FB4" s="193"/>
      <c r="FC4" s="193"/>
      <c r="FD4" s="193"/>
      <c r="FE4" s="193"/>
      <c r="FF4" s="193"/>
      <c r="FG4" s="193"/>
      <c r="FH4" s="193"/>
      <c r="FI4" s="193"/>
      <c r="FJ4" s="193"/>
      <c r="FK4" s="193"/>
      <c r="FL4" s="193"/>
      <c r="FM4" s="193"/>
      <c r="FN4" s="193"/>
      <c r="FO4" s="193"/>
      <c r="FP4" s="193"/>
      <c r="FQ4" s="193"/>
      <c r="FR4" s="193"/>
      <c r="FS4" s="193"/>
      <c r="FT4" s="193"/>
      <c r="FU4" s="193"/>
      <c r="FV4" s="193"/>
      <c r="FW4" s="193"/>
      <c r="FX4" s="193"/>
      <c r="FY4" s="193"/>
      <c r="FZ4" s="193"/>
      <c r="GA4" s="193"/>
      <c r="GB4" s="193"/>
      <c r="GC4" s="193"/>
      <c r="GD4" s="193"/>
      <c r="GE4" s="193"/>
      <c r="GF4" s="193"/>
      <c r="GG4" s="193"/>
      <c r="GH4" s="193"/>
      <c r="GI4" s="193"/>
      <c r="GJ4" s="193"/>
      <c r="GK4" s="193"/>
      <c r="GL4" s="193"/>
      <c r="GM4" s="193"/>
      <c r="GN4" s="193"/>
      <c r="GO4" s="193"/>
      <c r="GP4" s="193"/>
      <c r="GQ4" s="193"/>
      <c r="GR4" s="193"/>
      <c r="GS4" s="193"/>
      <c r="GT4" s="193"/>
      <c r="GU4" s="193"/>
      <c r="GV4" s="193"/>
      <c r="GW4" s="193"/>
      <c r="GX4" s="193"/>
      <c r="GY4" s="193"/>
      <c r="GZ4" s="193"/>
      <c r="HA4" s="193"/>
      <c r="HB4" s="193"/>
      <c r="HC4" s="193"/>
      <c r="HD4" s="193"/>
      <c r="HE4" s="193"/>
      <c r="HF4" s="193"/>
      <c r="HG4" s="193"/>
      <c r="HH4" s="193"/>
      <c r="HI4" s="193"/>
      <c r="HJ4" s="193"/>
      <c r="HK4" s="193"/>
      <c r="HL4" s="193"/>
      <c r="HM4" s="193"/>
      <c r="HN4" s="193"/>
      <c r="HO4" s="193"/>
      <c r="HP4" s="193"/>
      <c r="HQ4" s="193"/>
      <c r="HR4" s="193"/>
      <c r="HS4" s="193"/>
      <c r="HT4" s="193"/>
      <c r="HU4" s="193"/>
      <c r="HV4" s="193"/>
      <c r="HW4" s="193"/>
      <c r="HX4" s="193"/>
      <c r="HY4" s="193"/>
      <c r="HZ4" s="193"/>
      <c r="IA4" s="193"/>
      <c r="IB4" s="193"/>
      <c r="IC4" s="193"/>
      <c r="ID4" s="193"/>
      <c r="IE4" s="193"/>
      <c r="IF4" s="193"/>
      <c r="IG4" s="193"/>
      <c r="IH4" s="193"/>
      <c r="II4" s="193"/>
      <c r="IJ4" s="193"/>
      <c r="IK4" s="193"/>
      <c r="IL4" s="193"/>
      <c r="IM4" s="193"/>
      <c r="IN4" s="193"/>
      <c r="IO4" s="193"/>
      <c r="IP4" s="193"/>
      <c r="IQ4" s="193"/>
      <c r="IR4" s="193"/>
      <c r="IS4" s="193"/>
      <c r="IT4" s="193"/>
      <c r="IU4" s="193"/>
      <c r="IV4" s="193"/>
      <c r="IW4" s="193"/>
      <c r="IX4" s="193"/>
      <c r="IY4" s="193"/>
      <c r="IZ4" s="193"/>
      <c r="JA4" s="193"/>
      <c r="JB4" s="193"/>
      <c r="JC4" s="193"/>
      <c r="JD4" s="193"/>
      <c r="JE4" s="193"/>
      <c r="JF4" s="193"/>
      <c r="JG4" s="193"/>
      <c r="JH4" s="193"/>
      <c r="JI4" s="193"/>
      <c r="JJ4" s="193"/>
      <c r="JK4" s="193"/>
      <c r="JL4" s="193"/>
      <c r="JM4" s="193"/>
      <c r="JN4" s="193"/>
      <c r="JO4" s="193"/>
      <c r="JP4" s="193"/>
      <c r="JQ4" s="193"/>
      <c r="JR4" s="193"/>
      <c r="JS4" s="193"/>
      <c r="JT4" s="193"/>
      <c r="JU4" s="193"/>
      <c r="JV4" s="193"/>
      <c r="JW4" s="193"/>
      <c r="JX4" s="193"/>
      <c r="JY4" s="193"/>
      <c r="JZ4" s="193"/>
      <c r="KA4" s="193"/>
      <c r="KB4" s="193"/>
      <c r="KC4" s="193"/>
      <c r="KD4" s="193"/>
      <c r="KE4" s="193"/>
      <c r="KF4" s="193"/>
      <c r="KG4" s="193"/>
      <c r="KH4" s="193"/>
      <c r="KI4" s="193"/>
      <c r="KJ4" s="193"/>
      <c r="KK4" s="193"/>
      <c r="KL4" s="193"/>
      <c r="KM4" s="193"/>
      <c r="KN4" s="193"/>
      <c r="KO4" s="193"/>
      <c r="KP4" s="193"/>
      <c r="KQ4" s="193"/>
      <c r="KR4" s="193"/>
      <c r="KS4" s="193"/>
      <c r="KT4" s="193"/>
      <c r="KU4" s="193"/>
      <c r="KV4" s="193"/>
      <c r="KW4" s="193"/>
      <c r="KX4" s="193"/>
      <c r="KY4" s="193"/>
      <c r="KZ4" s="193"/>
      <c r="LA4" s="193"/>
      <c r="LB4" s="193"/>
      <c r="LC4" s="193"/>
      <c r="LD4" s="193"/>
      <c r="LE4" s="193"/>
      <c r="LF4" s="193"/>
      <c r="LG4" s="193"/>
      <c r="LH4" s="193"/>
      <c r="LI4" s="193"/>
      <c r="LJ4" s="193"/>
      <c r="LK4" s="193"/>
      <c r="LL4" s="193"/>
      <c r="LM4" s="193"/>
      <c r="LN4" s="193"/>
      <c r="LO4" s="193"/>
      <c r="LP4" s="193"/>
      <c r="LQ4" s="193"/>
      <c r="LR4" s="193"/>
      <c r="LS4" s="193"/>
      <c r="LT4" s="193"/>
      <c r="LU4" s="193"/>
      <c r="LV4" s="193"/>
      <c r="LW4" s="193"/>
      <c r="LX4" s="193"/>
      <c r="LY4" s="193"/>
      <c r="LZ4" s="193"/>
      <c r="MA4" s="193"/>
      <c r="MB4" s="193"/>
      <c r="MC4" s="193"/>
      <c r="MD4" s="193"/>
      <c r="ME4" s="193"/>
      <c r="MF4" s="193"/>
      <c r="MG4" s="193"/>
      <c r="MH4" s="193"/>
      <c r="MI4" s="193"/>
      <c r="MJ4" s="193"/>
      <c r="MK4" s="193"/>
      <c r="ML4" s="193"/>
      <c r="MM4" s="193"/>
      <c r="MN4" s="193"/>
      <c r="MO4" s="193"/>
      <c r="MP4" s="193"/>
      <c r="MQ4" s="193"/>
      <c r="MR4" s="193"/>
      <c r="MS4" s="193"/>
      <c r="MT4" s="193"/>
      <c r="MU4" s="193"/>
      <c r="MV4" s="193"/>
      <c r="MW4" s="193"/>
      <c r="MX4" s="193"/>
      <c r="MY4" s="193"/>
      <c r="MZ4" s="193"/>
      <c r="NA4" s="193"/>
      <c r="NB4" s="193"/>
      <c r="NC4" s="193"/>
      <c r="ND4" s="193"/>
      <c r="NE4" s="193"/>
      <c r="NF4" s="193"/>
      <c r="NG4" s="193"/>
      <c r="NH4" s="193"/>
      <c r="NI4" s="193"/>
      <c r="NJ4" s="193"/>
      <c r="NK4" s="193"/>
      <c r="NL4" s="193"/>
      <c r="NM4" s="193"/>
      <c r="NN4" s="193"/>
      <c r="NO4" s="193"/>
      <c r="NP4" s="193"/>
      <c r="NQ4" s="193"/>
      <c r="NR4" s="193"/>
      <c r="NS4" s="193"/>
      <c r="NT4" s="193"/>
      <c r="NU4" s="193"/>
      <c r="NV4" s="193"/>
      <c r="NW4" s="193"/>
      <c r="NX4" s="193"/>
      <c r="NY4" s="193"/>
      <c r="NZ4" s="193"/>
      <c r="OA4" s="193"/>
      <c r="OB4" s="193"/>
      <c r="OC4" s="193"/>
      <c r="OD4" s="193"/>
      <c r="OE4" s="193"/>
      <c r="OF4" s="193"/>
      <c r="OG4" s="193"/>
      <c r="OH4" s="193"/>
      <c r="OI4" s="193"/>
      <c r="OJ4" s="193"/>
      <c r="OK4" s="193"/>
      <c r="OL4" s="193"/>
      <c r="OM4" s="193"/>
      <c r="ON4" s="193"/>
      <c r="OO4" s="193"/>
      <c r="OP4" s="193"/>
      <c r="OQ4" s="193"/>
      <c r="OR4" s="193"/>
      <c r="OS4" s="193"/>
      <c r="OT4" s="193"/>
      <c r="OU4" s="193"/>
      <c r="OV4" s="193"/>
      <c r="OW4" s="193"/>
      <c r="OX4" s="193"/>
      <c r="OY4" s="193"/>
      <c r="OZ4" s="193"/>
      <c r="PA4" s="193"/>
      <c r="PB4" s="193"/>
      <c r="PC4" s="193"/>
      <c r="PD4" s="193"/>
      <c r="PE4" s="193"/>
      <c r="PF4" s="193"/>
      <c r="PG4" s="193"/>
      <c r="PH4" s="193"/>
      <c r="PI4" s="193"/>
      <c r="PJ4" s="193"/>
      <c r="PK4" s="193"/>
      <c r="PL4" s="193"/>
      <c r="PM4" s="193"/>
      <c r="PN4" s="193"/>
      <c r="PO4" s="193"/>
      <c r="PP4" s="193"/>
      <c r="PQ4" s="193"/>
      <c r="PR4" s="193"/>
      <c r="PS4" s="193"/>
      <c r="PT4" s="193"/>
      <c r="PU4" s="193"/>
      <c r="PV4" s="193"/>
      <c r="PW4" s="193"/>
      <c r="PX4" s="193"/>
      <c r="PY4" s="193"/>
      <c r="PZ4" s="193"/>
      <c r="QA4" s="193"/>
      <c r="QB4" s="193"/>
      <c r="QC4" s="193"/>
      <c r="QD4" s="193"/>
      <c r="QE4" s="193"/>
      <c r="QF4" s="193"/>
      <c r="QG4" s="193"/>
      <c r="QH4" s="193"/>
      <c r="QI4" s="193"/>
      <c r="QJ4" s="193"/>
      <c r="QK4" s="193"/>
      <c r="QL4" s="193"/>
      <c r="QM4" s="193"/>
      <c r="QN4" s="193"/>
      <c r="QO4" s="193"/>
      <c r="QP4" s="193"/>
      <c r="QQ4" s="193"/>
      <c r="QR4" s="193"/>
      <c r="QS4" s="193"/>
      <c r="QT4" s="193"/>
      <c r="QU4" s="193"/>
      <c r="QV4" s="193"/>
      <c r="QW4" s="193"/>
      <c r="QX4" s="193"/>
      <c r="QY4" s="193"/>
      <c r="QZ4" s="193"/>
      <c r="RA4" s="193"/>
      <c r="RB4" s="193"/>
      <c r="RC4" s="193"/>
      <c r="RD4" s="193"/>
      <c r="RE4" s="193"/>
      <c r="RF4" s="193"/>
      <c r="RG4" s="193"/>
      <c r="RH4" s="193"/>
      <c r="RI4" s="193"/>
      <c r="RJ4" s="193"/>
      <c r="RK4" s="193"/>
      <c r="RL4" s="193"/>
      <c r="RM4" s="193"/>
      <c r="RN4" s="193"/>
      <c r="RO4" s="193"/>
      <c r="RP4" s="193"/>
      <c r="RQ4" s="193"/>
      <c r="RR4" s="193"/>
    </row>
    <row r="5" spans="1:486">
      <c r="A5" s="223"/>
      <c r="B5" s="223" t="s">
        <v>1300</v>
      </c>
      <c r="C5" s="223">
        <v>1</v>
      </c>
      <c r="D5" s="237" t="s">
        <v>1064</v>
      </c>
      <c r="E5" s="224" t="s">
        <v>1302</v>
      </c>
      <c r="F5" s="224"/>
      <c r="G5" s="224"/>
      <c r="H5" s="224"/>
      <c r="I5" s="224"/>
      <c r="J5" s="224"/>
      <c r="K5" s="224"/>
      <c r="L5" s="224"/>
      <c r="M5" s="224"/>
      <c r="N5" s="224"/>
      <c r="O5" s="224"/>
      <c r="P5" s="225">
        <v>43721</v>
      </c>
      <c r="Q5" s="225">
        <v>44012</v>
      </c>
      <c r="R5" s="227"/>
      <c r="S5" s="228">
        <v>593</v>
      </c>
      <c r="T5" s="228">
        <v>149</v>
      </c>
      <c r="U5" s="226">
        <v>303</v>
      </c>
      <c r="V5" s="226">
        <v>149</v>
      </c>
      <c r="W5" s="225"/>
      <c r="X5" s="225"/>
      <c r="Y5" s="229">
        <v>0</v>
      </c>
      <c r="Z5" s="230">
        <v>0</v>
      </c>
      <c r="AA5" s="231"/>
      <c r="AB5" s="227"/>
      <c r="AC5" s="232"/>
      <c r="AD5" s="233">
        <v>0.25126475548060706</v>
      </c>
      <c r="AE5" s="234">
        <v>0.28499156829679595</v>
      </c>
      <c r="AF5" s="208"/>
      <c r="AG5" s="209"/>
      <c r="AH5" s="209"/>
      <c r="AI5" s="209"/>
      <c r="AJ5" s="209"/>
      <c r="AK5" s="209"/>
      <c r="AL5" s="209"/>
      <c r="AM5" s="209"/>
      <c r="AN5" s="209"/>
      <c r="AO5" s="209"/>
      <c r="AP5" s="209"/>
      <c r="AQ5" s="209"/>
      <c r="AR5" s="209"/>
      <c r="AS5" s="209"/>
      <c r="AT5" s="209"/>
      <c r="AU5" s="209"/>
      <c r="AV5" s="209"/>
      <c r="AW5" s="209"/>
      <c r="AX5" s="209" t="str">
        <f>"      " &amp; TEXT(AE5,"#0.00%") &amp; " "</f>
        <v xml:space="preserve">      28.50% </v>
      </c>
      <c r="AY5" s="209"/>
      <c r="AZ5" s="209"/>
      <c r="BA5" s="209"/>
      <c r="BB5" s="209"/>
      <c r="BC5" s="209"/>
      <c r="BD5" s="209"/>
      <c r="BE5" s="209"/>
      <c r="BF5" s="209"/>
      <c r="BG5" s="209"/>
      <c r="BH5" s="209"/>
      <c r="BI5" s="209"/>
      <c r="BJ5" s="209"/>
      <c r="BK5" s="209"/>
      <c r="BL5" s="209"/>
      <c r="BM5" s="209"/>
      <c r="BN5" s="209"/>
      <c r="BO5" s="209"/>
      <c r="BP5" s="209"/>
      <c r="BQ5" s="209"/>
      <c r="BR5" s="209"/>
      <c r="BS5" s="209"/>
      <c r="BT5" s="209"/>
      <c r="BU5" s="209"/>
      <c r="BV5" s="209"/>
      <c r="BW5" s="209"/>
      <c r="BX5" s="209"/>
      <c r="BY5" s="209"/>
      <c r="BZ5" s="209"/>
      <c r="CA5" s="209"/>
      <c r="CB5" s="209"/>
      <c r="CC5" s="209"/>
      <c r="CD5" s="209"/>
      <c r="CE5" s="209"/>
      <c r="CF5" s="209"/>
      <c r="CG5" s="209"/>
      <c r="CH5" s="209"/>
      <c r="CI5" s="209"/>
      <c r="CJ5" s="209"/>
      <c r="CK5" s="209"/>
      <c r="CL5" s="209"/>
      <c r="CM5" s="209"/>
      <c r="CN5" s="209"/>
      <c r="CO5" s="209"/>
      <c r="CP5" s="209"/>
      <c r="CQ5" s="209"/>
      <c r="CR5" s="209" t="str">
        <f>"  " &amp; "프로젝트 관리" &amp; " " &amp; IF(P5="","",TEXT(P5,"M/D-")) &amp; IF(Q5="","",TEXT(Q5,"M/D")) &amp; " "</f>
        <v xml:space="preserve">  프로젝트 관리 9/13-6/30 </v>
      </c>
      <c r="CS5" s="209"/>
      <c r="CT5" s="207"/>
      <c r="CU5" s="207"/>
    </row>
    <row r="6" spans="1:486" outlineLevel="1">
      <c r="A6" s="223"/>
      <c r="B6" s="223" t="s">
        <v>1300</v>
      </c>
      <c r="C6" s="223">
        <v>2</v>
      </c>
      <c r="D6" s="237" t="s">
        <v>1177</v>
      </c>
      <c r="E6" s="224"/>
      <c r="F6" s="224" t="s">
        <v>1303</v>
      </c>
      <c r="G6" s="224"/>
      <c r="H6" s="224"/>
      <c r="I6" s="224"/>
      <c r="J6" s="224"/>
      <c r="K6" s="224"/>
      <c r="L6" s="224"/>
      <c r="M6" s="224"/>
      <c r="N6" s="224"/>
      <c r="O6" s="224"/>
      <c r="P6" s="225">
        <v>43783</v>
      </c>
      <c r="Q6" s="225">
        <v>43847</v>
      </c>
      <c r="R6" s="227"/>
      <c r="S6" s="228">
        <v>127</v>
      </c>
      <c r="T6" s="228">
        <v>127</v>
      </c>
      <c r="U6" s="226">
        <v>45</v>
      </c>
      <c r="V6" s="226">
        <v>45</v>
      </c>
      <c r="W6" s="225"/>
      <c r="X6" s="225"/>
      <c r="Y6" s="229">
        <v>0</v>
      </c>
      <c r="Z6" s="230">
        <v>0</v>
      </c>
      <c r="AA6" s="231"/>
      <c r="AB6" s="227"/>
      <c r="AC6" s="232"/>
      <c r="AD6" s="233">
        <v>1</v>
      </c>
      <c r="AE6" s="234">
        <v>1</v>
      </c>
      <c r="AF6" s="208"/>
      <c r="AG6" s="209"/>
      <c r="AH6" s="209"/>
      <c r="AI6" s="209"/>
      <c r="AJ6" s="209"/>
      <c r="AK6" s="209"/>
      <c r="AL6" s="209"/>
      <c r="AM6" s="209"/>
      <c r="AN6" s="209"/>
      <c r="AO6" s="209"/>
      <c r="AP6" s="209"/>
      <c r="AQ6" s="209"/>
      <c r="AR6" s="209"/>
      <c r="AS6" s="209"/>
      <c r="AT6" s="209"/>
      <c r="AU6" s="209"/>
      <c r="AV6" s="209"/>
      <c r="AW6" s="209"/>
      <c r="AX6" s="209" t="str">
        <f>"      " &amp; TEXT(AE6,"#0.00%") &amp; " " &amp; "프로젝트 착수 및 계획수립" &amp; " " &amp; IF(P6="","",TEXT(P6,"M/D-")) &amp; IF(Q6="","",TEXT(Q6,"M/D")) &amp; " "</f>
        <v xml:space="preserve">      100.00% 프로젝트 착수 및 계획수립 11/14-1/17 </v>
      </c>
      <c r="AY6" s="209"/>
      <c r="AZ6" s="209"/>
      <c r="BA6" s="209"/>
      <c r="BB6" s="209"/>
      <c r="BC6" s="209"/>
      <c r="BD6" s="209"/>
      <c r="BE6" s="209"/>
      <c r="BF6" s="209"/>
      <c r="BG6" s="209"/>
      <c r="BH6" s="209"/>
      <c r="BI6" s="209"/>
      <c r="BJ6" s="209"/>
      <c r="BK6" s="209"/>
      <c r="BL6" s="209"/>
      <c r="BM6" s="209"/>
      <c r="BN6" s="209"/>
      <c r="BO6" s="209"/>
      <c r="BP6" s="209"/>
      <c r="BQ6" s="209"/>
      <c r="BR6" s="209"/>
      <c r="BS6" s="209"/>
      <c r="BT6" s="209"/>
      <c r="BU6" s="209"/>
      <c r="BV6" s="209"/>
      <c r="BW6" s="209"/>
      <c r="BX6" s="209"/>
      <c r="BY6" s="209"/>
      <c r="BZ6" s="209"/>
      <c r="CA6" s="209"/>
      <c r="CB6" s="209"/>
      <c r="CC6" s="209"/>
      <c r="CD6" s="209"/>
      <c r="CE6" s="209"/>
      <c r="CF6" s="209"/>
      <c r="CG6" s="209"/>
      <c r="CH6" s="209"/>
      <c r="CI6" s="209"/>
      <c r="CJ6" s="209"/>
      <c r="CK6" s="209"/>
      <c r="CL6" s="209"/>
      <c r="CM6" s="209"/>
      <c r="CN6" s="209"/>
      <c r="CO6" s="209"/>
      <c r="CP6" s="209"/>
      <c r="CQ6" s="209"/>
      <c r="CR6" s="209"/>
      <c r="CS6" s="209"/>
    </row>
    <row r="7" spans="1:486" outlineLevel="2">
      <c r="A7" s="223"/>
      <c r="B7" s="223"/>
      <c r="C7" s="223">
        <v>3</v>
      </c>
      <c r="D7" s="237" t="s">
        <v>1178</v>
      </c>
      <c r="E7" s="224"/>
      <c r="F7" s="224"/>
      <c r="G7" s="224" t="s">
        <v>1304</v>
      </c>
      <c r="H7" s="224"/>
      <c r="I7" s="224"/>
      <c r="J7" s="224"/>
      <c r="K7" s="224"/>
      <c r="L7" s="224"/>
      <c r="M7" s="224"/>
      <c r="N7" s="224"/>
      <c r="O7" s="224"/>
      <c r="P7" s="225">
        <v>43783</v>
      </c>
      <c r="Q7" s="225">
        <v>43847</v>
      </c>
      <c r="R7" s="227"/>
      <c r="S7" s="228">
        <v>45</v>
      </c>
      <c r="T7" s="228">
        <v>45</v>
      </c>
      <c r="U7" s="226">
        <v>45</v>
      </c>
      <c r="V7" s="226">
        <v>45</v>
      </c>
      <c r="W7" s="225">
        <v>43696</v>
      </c>
      <c r="X7" s="225">
        <v>43697</v>
      </c>
      <c r="Y7" s="229">
        <v>2</v>
      </c>
      <c r="Z7" s="230">
        <v>2</v>
      </c>
      <c r="AA7" s="231">
        <v>1</v>
      </c>
      <c r="AB7" s="227" t="s">
        <v>1405</v>
      </c>
      <c r="AC7" s="232"/>
      <c r="AD7" s="233">
        <v>1</v>
      </c>
      <c r="AE7" s="234">
        <v>1</v>
      </c>
      <c r="AF7" s="208"/>
      <c r="AG7" s="209"/>
      <c r="AH7" s="209"/>
      <c r="AI7" s="209"/>
      <c r="AJ7" s="209"/>
      <c r="AK7" s="209"/>
      <c r="AL7" s="209"/>
      <c r="AM7" s="209"/>
      <c r="AN7" s="209"/>
      <c r="AO7" s="209"/>
      <c r="AP7" s="209"/>
      <c r="AQ7" s="209"/>
      <c r="AR7" s="209"/>
      <c r="AS7" s="209"/>
      <c r="AT7" s="209"/>
      <c r="AU7" s="209"/>
      <c r="AV7" s="209"/>
      <c r="AW7" s="209"/>
      <c r="AX7" s="209" t="str">
        <f>"      " &amp; TEXT(AE7,"#0.00%") &amp; " " &amp; "프로젝트 착수" &amp; "(1조 전원)" &amp; " " &amp; IF(P7="","",TEXT(P7,"M/D-")) &amp; IF(Q7="","",TEXT(Q7,"M/D")) &amp; " "</f>
        <v xml:space="preserve">      100.00% 프로젝트 착수(1조 전원) 11/14-1/17 </v>
      </c>
      <c r="AY7" s="209"/>
      <c r="AZ7" s="209"/>
      <c r="BA7" s="209"/>
      <c r="BB7" s="209"/>
      <c r="BC7" s="209"/>
      <c r="BD7" s="209"/>
      <c r="BE7" s="209"/>
      <c r="BF7" s="209"/>
      <c r="BG7" s="209"/>
      <c r="BH7" s="209"/>
      <c r="BI7" s="209"/>
      <c r="BJ7" s="209"/>
      <c r="BK7" s="209"/>
      <c r="BL7" s="209"/>
      <c r="BM7" s="209"/>
      <c r="BN7" s="209"/>
      <c r="BO7" s="209"/>
      <c r="BP7" s="209"/>
      <c r="BQ7" s="209"/>
      <c r="BR7" s="209"/>
      <c r="BS7" s="209"/>
      <c r="BT7" s="209"/>
      <c r="BU7" s="209"/>
      <c r="BV7" s="209"/>
      <c r="BW7" s="209"/>
      <c r="BX7" s="209"/>
      <c r="BY7" s="209"/>
      <c r="BZ7" s="209"/>
      <c r="CA7" s="209"/>
      <c r="CB7" s="209"/>
      <c r="CC7" s="209"/>
      <c r="CD7" s="209"/>
      <c r="CE7" s="209"/>
      <c r="CF7" s="209"/>
      <c r="CG7" s="209"/>
      <c r="CH7" s="209"/>
      <c r="CI7" s="209"/>
      <c r="CJ7" s="209"/>
      <c r="CK7" s="209"/>
      <c r="CL7" s="209"/>
      <c r="CM7" s="209"/>
      <c r="CN7" s="209"/>
      <c r="CO7" s="209"/>
      <c r="CP7" s="209"/>
      <c r="CQ7" s="209"/>
      <c r="CR7" s="209"/>
      <c r="CS7" s="209"/>
    </row>
    <row r="8" spans="1:486" outlineLevel="2">
      <c r="A8" s="223"/>
      <c r="B8" s="223" t="s">
        <v>1300</v>
      </c>
      <c r="C8" s="223">
        <v>3</v>
      </c>
      <c r="D8" s="237" t="s">
        <v>1179</v>
      </c>
      <c r="E8" s="224"/>
      <c r="F8" s="224"/>
      <c r="G8" s="224" t="s">
        <v>1305</v>
      </c>
      <c r="H8" s="224"/>
      <c r="I8" s="224"/>
      <c r="J8" s="224"/>
      <c r="K8" s="224"/>
      <c r="L8" s="224"/>
      <c r="M8" s="224"/>
      <c r="N8" s="224"/>
      <c r="O8" s="224"/>
      <c r="P8" s="225">
        <v>43789</v>
      </c>
      <c r="Q8" s="225">
        <v>43847</v>
      </c>
      <c r="R8" s="227"/>
      <c r="S8" s="228">
        <v>82</v>
      </c>
      <c r="T8" s="228">
        <v>82</v>
      </c>
      <c r="U8" s="226">
        <v>41</v>
      </c>
      <c r="V8" s="226">
        <v>41</v>
      </c>
      <c r="W8" s="225"/>
      <c r="X8" s="225"/>
      <c r="Y8" s="229">
        <v>0</v>
      </c>
      <c r="Z8" s="230">
        <v>0</v>
      </c>
      <c r="AA8" s="231"/>
      <c r="AB8" s="227"/>
      <c r="AC8" s="232"/>
      <c r="AD8" s="233">
        <v>1</v>
      </c>
      <c r="AE8" s="234">
        <v>1</v>
      </c>
      <c r="AF8" s="208"/>
      <c r="AG8" s="209"/>
      <c r="AH8" s="209"/>
      <c r="AI8" s="209"/>
      <c r="AJ8" s="209"/>
      <c r="AK8" s="209"/>
      <c r="AL8" s="209"/>
      <c r="AM8" s="209"/>
      <c r="AN8" s="209"/>
      <c r="AO8" s="209"/>
      <c r="AP8" s="209"/>
      <c r="AQ8" s="209"/>
      <c r="AR8" s="209"/>
      <c r="AS8" s="209"/>
      <c r="AT8" s="209"/>
      <c r="AU8" s="209"/>
      <c r="AV8" s="209"/>
      <c r="AW8" s="209"/>
      <c r="AX8" s="209" t="str">
        <f>"      " &amp; TEXT(AE8,"#0.00%") &amp; " " &amp; "프로젝트 범위정의" &amp; " " &amp; IF(P8="","",TEXT(P8,"M/D-")) &amp; IF(Q8="","",TEXT(Q8,"M/D")) &amp; " "</f>
        <v xml:space="preserve">      100.00% 프로젝트 범위정의 11/20-1/17 </v>
      </c>
      <c r="AY8" s="209"/>
      <c r="AZ8" s="209"/>
      <c r="BA8" s="209"/>
      <c r="BB8" s="209"/>
      <c r="BC8" s="209"/>
      <c r="BD8" s="209"/>
      <c r="BE8" s="209"/>
      <c r="BF8" s="209"/>
      <c r="BG8" s="209"/>
      <c r="BH8" s="209"/>
      <c r="BI8" s="209"/>
      <c r="BJ8" s="209"/>
      <c r="BK8" s="209"/>
      <c r="BL8" s="209"/>
      <c r="BM8" s="209"/>
      <c r="BN8" s="209"/>
      <c r="BO8" s="209"/>
      <c r="BP8" s="209"/>
      <c r="BQ8" s="209"/>
      <c r="BR8" s="209"/>
      <c r="BS8" s="209"/>
      <c r="BT8" s="209"/>
      <c r="BU8" s="209"/>
      <c r="BV8" s="209"/>
      <c r="BW8" s="209"/>
      <c r="BX8" s="209"/>
      <c r="BY8" s="209"/>
      <c r="BZ8" s="209"/>
      <c r="CA8" s="209"/>
      <c r="CB8" s="209"/>
      <c r="CC8" s="209"/>
      <c r="CD8" s="209"/>
      <c r="CE8" s="209"/>
      <c r="CF8" s="209"/>
      <c r="CG8" s="209"/>
      <c r="CH8" s="209"/>
      <c r="CI8" s="209"/>
      <c r="CJ8" s="209"/>
      <c r="CK8" s="209"/>
      <c r="CL8" s="209"/>
      <c r="CM8" s="209"/>
      <c r="CN8" s="209"/>
      <c r="CO8" s="209"/>
      <c r="CP8" s="209"/>
      <c r="CQ8" s="209"/>
      <c r="CR8" s="209"/>
      <c r="CS8" s="209"/>
    </row>
    <row r="9" spans="1:486" outlineLevel="3">
      <c r="A9" s="223"/>
      <c r="B9" s="223"/>
      <c r="C9" s="223">
        <v>4</v>
      </c>
      <c r="D9" s="237" t="s">
        <v>1306</v>
      </c>
      <c r="E9" s="224"/>
      <c r="F9" s="224"/>
      <c r="G9" s="224"/>
      <c r="H9" s="224" t="s">
        <v>1307</v>
      </c>
      <c r="I9" s="224"/>
      <c r="J9" s="224"/>
      <c r="K9" s="224"/>
      <c r="L9" s="224"/>
      <c r="M9" s="224"/>
      <c r="N9" s="224"/>
      <c r="O9" s="224"/>
      <c r="P9" s="225">
        <v>43789</v>
      </c>
      <c r="Q9" s="225">
        <v>43847</v>
      </c>
      <c r="R9" s="227"/>
      <c r="S9" s="228">
        <v>41</v>
      </c>
      <c r="T9" s="228">
        <v>41</v>
      </c>
      <c r="U9" s="226">
        <v>41</v>
      </c>
      <c r="V9" s="226">
        <v>41</v>
      </c>
      <c r="W9" s="225">
        <v>43700</v>
      </c>
      <c r="X9" s="225">
        <v>43706</v>
      </c>
      <c r="Y9" s="229">
        <v>5</v>
      </c>
      <c r="Z9" s="230">
        <v>5</v>
      </c>
      <c r="AA9" s="231">
        <v>1</v>
      </c>
      <c r="AB9" s="227" t="s">
        <v>1405</v>
      </c>
      <c r="AC9" s="232"/>
      <c r="AD9" s="233">
        <v>1</v>
      </c>
      <c r="AE9" s="234">
        <v>1</v>
      </c>
      <c r="AF9" s="208"/>
      <c r="AG9" s="209"/>
      <c r="AH9" s="209"/>
      <c r="AI9" s="209"/>
      <c r="AJ9" s="209"/>
      <c r="AK9" s="209"/>
      <c r="AL9" s="209"/>
      <c r="AM9" s="209"/>
      <c r="AN9" s="209"/>
      <c r="AO9" s="209"/>
      <c r="AP9" s="209"/>
      <c r="AQ9" s="209"/>
      <c r="AR9" s="209"/>
      <c r="AS9" s="209"/>
      <c r="AT9" s="209"/>
      <c r="AU9" s="209"/>
      <c r="AV9" s="209"/>
      <c r="AW9" s="209"/>
      <c r="AX9" s="209" t="str">
        <f>"      " &amp; TEXT(AE9,"#0.00%") &amp; " " &amp; "프로젝트 계획 수립" &amp; "(1조 전원)" &amp; " " &amp; IF(P9="","",TEXT(P9,"M/D-")) &amp; IF(Q9="","",TEXT(Q9,"M/D")) &amp; " "</f>
        <v xml:space="preserve">      100.00% 프로젝트 계획 수립(1조 전원) 11/20-1/17 </v>
      </c>
      <c r="AY9" s="209"/>
      <c r="AZ9" s="209"/>
      <c r="BA9" s="209"/>
      <c r="BB9" s="209"/>
      <c r="BC9" s="209"/>
      <c r="BD9" s="209"/>
      <c r="BE9" s="209"/>
      <c r="BF9" s="209"/>
      <c r="BG9" s="209"/>
      <c r="BH9" s="209"/>
      <c r="BI9" s="209"/>
      <c r="BJ9" s="209"/>
      <c r="BK9" s="209"/>
      <c r="BL9" s="209"/>
      <c r="BM9" s="209"/>
      <c r="BN9" s="209"/>
      <c r="BO9" s="209"/>
      <c r="BP9" s="209"/>
      <c r="BQ9" s="209"/>
      <c r="BR9" s="209"/>
      <c r="BS9" s="209"/>
      <c r="BT9" s="209"/>
      <c r="BU9" s="209"/>
      <c r="BV9" s="209"/>
      <c r="BW9" s="209"/>
      <c r="BX9" s="209"/>
      <c r="BY9" s="209"/>
      <c r="BZ9" s="209"/>
      <c r="CA9" s="209"/>
      <c r="CB9" s="209"/>
      <c r="CC9" s="209"/>
      <c r="CD9" s="209"/>
      <c r="CE9" s="209"/>
      <c r="CF9" s="209"/>
      <c r="CG9" s="209"/>
      <c r="CH9" s="209"/>
      <c r="CI9" s="209"/>
      <c r="CJ9" s="209"/>
      <c r="CK9" s="209"/>
      <c r="CL9" s="209"/>
      <c r="CM9" s="209"/>
      <c r="CN9" s="209"/>
      <c r="CO9" s="209"/>
      <c r="CP9" s="209"/>
      <c r="CQ9" s="209"/>
      <c r="CR9" s="209"/>
      <c r="CS9" s="209"/>
    </row>
    <row r="10" spans="1:486" ht="13.2" outlineLevel="3">
      <c r="A10" s="223"/>
      <c r="B10" s="223"/>
      <c r="C10" s="223">
        <v>4</v>
      </c>
      <c r="D10" s="237" t="s">
        <v>1308</v>
      </c>
      <c r="E10" s="224"/>
      <c r="F10" s="224"/>
      <c r="G10" s="224"/>
      <c r="H10" s="224" t="s">
        <v>1309</v>
      </c>
      <c r="I10" s="224"/>
      <c r="J10" s="224"/>
      <c r="K10" s="224"/>
      <c r="L10" s="224"/>
      <c r="M10" s="224"/>
      <c r="N10" s="224"/>
      <c r="O10" s="224"/>
      <c r="P10" s="225">
        <v>43789</v>
      </c>
      <c r="Q10" s="225">
        <v>43847</v>
      </c>
      <c r="R10" s="227"/>
      <c r="S10" s="228">
        <v>41</v>
      </c>
      <c r="T10" s="228">
        <v>41</v>
      </c>
      <c r="U10" s="226">
        <v>41</v>
      </c>
      <c r="V10" s="226">
        <v>41</v>
      </c>
      <c r="W10" s="225">
        <v>43718</v>
      </c>
      <c r="X10" s="225">
        <v>43718</v>
      </c>
      <c r="Y10" s="229">
        <v>1</v>
      </c>
      <c r="Z10" s="230">
        <v>1</v>
      </c>
      <c r="AA10" s="231">
        <v>1</v>
      </c>
      <c r="AB10" s="238" t="s">
        <v>1404</v>
      </c>
      <c r="AC10" s="232"/>
      <c r="AD10" s="233">
        <v>1</v>
      </c>
      <c r="AE10" s="234">
        <v>1</v>
      </c>
      <c r="AF10" s="208"/>
      <c r="AG10" s="209"/>
      <c r="AH10" s="209"/>
      <c r="AI10" s="209"/>
      <c r="AJ10" s="209"/>
      <c r="AK10" s="209"/>
      <c r="AL10" s="209"/>
      <c r="AM10" s="209"/>
      <c r="AN10" s="209"/>
      <c r="AO10" s="209"/>
      <c r="AP10" s="209"/>
      <c r="AQ10" s="209"/>
      <c r="AR10" s="209"/>
      <c r="AS10" s="209"/>
      <c r="AT10" s="209"/>
      <c r="AU10" s="209"/>
      <c r="AV10" s="209"/>
      <c r="AW10" s="209"/>
      <c r="AX10" s="209" t="str">
        <f>"      " &amp; TEXT(AE10,"#0.00%") &amp; " " &amp; "착수보고(Kick off)" &amp; "(김동환)" &amp; " " &amp; IF(P10="","",TEXT(P10,"M/D-")) &amp; IF(Q10="","",TEXT(Q10,"M/D")) &amp; " "</f>
        <v xml:space="preserve">      100.00% 착수보고(Kick off)(김동환) 11/20-1/17 </v>
      </c>
      <c r="AY10" s="209"/>
      <c r="AZ10" s="209"/>
      <c r="BA10" s="209"/>
      <c r="BB10" s="209"/>
      <c r="BC10" s="209"/>
      <c r="BD10" s="209"/>
      <c r="BE10" s="209"/>
      <c r="BF10" s="209"/>
      <c r="BG10" s="209"/>
      <c r="BH10" s="209"/>
      <c r="BI10" s="209"/>
      <c r="BJ10" s="209"/>
      <c r="BK10" s="209"/>
      <c r="BL10" s="209"/>
      <c r="BM10" s="209"/>
      <c r="BN10" s="209"/>
      <c r="BO10" s="209"/>
      <c r="BP10" s="209"/>
      <c r="BQ10" s="209"/>
      <c r="BR10" s="209"/>
      <c r="BS10" s="209"/>
      <c r="BT10" s="209"/>
      <c r="BU10" s="209"/>
      <c r="BV10" s="209"/>
      <c r="BW10" s="209"/>
      <c r="BX10" s="209"/>
      <c r="BY10" s="209"/>
      <c r="BZ10" s="209"/>
      <c r="CA10" s="209"/>
      <c r="CB10" s="209"/>
      <c r="CC10" s="209"/>
      <c r="CD10" s="209"/>
      <c r="CE10" s="209"/>
      <c r="CF10" s="209"/>
      <c r="CG10" s="209"/>
      <c r="CH10" s="209"/>
      <c r="CI10" s="209"/>
      <c r="CJ10" s="209"/>
      <c r="CK10" s="209"/>
      <c r="CL10" s="209"/>
      <c r="CM10" s="209"/>
      <c r="CN10" s="209"/>
      <c r="CO10" s="209"/>
      <c r="CP10" s="209"/>
      <c r="CQ10" s="209"/>
      <c r="CR10" s="209"/>
      <c r="CS10" s="209"/>
    </row>
    <row r="11" spans="1:486" outlineLevel="1">
      <c r="A11" s="223"/>
      <c r="B11" s="223" t="s">
        <v>1300</v>
      </c>
      <c r="C11" s="223">
        <v>2</v>
      </c>
      <c r="D11" s="237" t="s">
        <v>1180</v>
      </c>
      <c r="E11" s="224"/>
      <c r="F11" s="224" t="s">
        <v>1310</v>
      </c>
      <c r="G11" s="224"/>
      <c r="H11" s="224"/>
      <c r="I11" s="224"/>
      <c r="J11" s="224"/>
      <c r="K11" s="224"/>
      <c r="L11" s="224"/>
      <c r="M11" s="224"/>
      <c r="N11" s="224"/>
      <c r="O11" s="224"/>
      <c r="P11" s="225">
        <v>43721</v>
      </c>
      <c r="Q11" s="225">
        <v>43971</v>
      </c>
      <c r="R11" s="227"/>
      <c r="S11" s="228">
        <v>42</v>
      </c>
      <c r="T11" s="228">
        <v>22</v>
      </c>
      <c r="U11" s="226">
        <v>169</v>
      </c>
      <c r="V11" s="226">
        <v>149</v>
      </c>
      <c r="W11" s="225"/>
      <c r="X11" s="225"/>
      <c r="Y11" s="229">
        <v>0</v>
      </c>
      <c r="Z11" s="230">
        <v>0</v>
      </c>
      <c r="AA11" s="231"/>
      <c r="AB11" s="227"/>
      <c r="AC11" s="232"/>
      <c r="AD11" s="233">
        <v>0.52380952380952384</v>
      </c>
      <c r="AE11" s="234">
        <v>1</v>
      </c>
      <c r="AF11" s="208"/>
      <c r="AG11" s="209"/>
      <c r="AH11" s="209"/>
      <c r="AI11" s="209"/>
      <c r="AJ11" s="209"/>
      <c r="AK11" s="209"/>
      <c r="AL11" s="209"/>
      <c r="AM11" s="209"/>
      <c r="AN11" s="209"/>
      <c r="AO11" s="209"/>
      <c r="AP11" s="209"/>
      <c r="AQ11" s="209"/>
      <c r="AR11" s="209"/>
      <c r="AS11" s="209"/>
      <c r="AT11" s="209"/>
      <c r="AU11" s="209"/>
      <c r="AV11" s="209"/>
      <c r="AW11" s="209"/>
      <c r="AX11" s="209"/>
      <c r="AY11" s="209"/>
      <c r="AZ11" s="209"/>
      <c r="BA11" s="209"/>
      <c r="BB11" s="209"/>
      <c r="BC11" s="209"/>
      <c r="BD11" s="209"/>
      <c r="BE11" s="209"/>
      <c r="BF11" s="209"/>
      <c r="BG11" s="209"/>
      <c r="BH11" s="209"/>
      <c r="BI11" s="209"/>
      <c r="BJ11" s="209"/>
      <c r="BK11" s="209"/>
      <c r="BL11" s="209"/>
      <c r="BM11" s="209"/>
      <c r="BN11" s="209"/>
      <c r="BO11" s="209"/>
      <c r="BP11" s="209" t="str">
        <f>"    " &amp; TEXT(AE11,"#0.00%") &amp; " " &amp; "프로젝트 수행 및 통제" &amp; " " &amp; IF(P11="","",TEXT(P11,"M/D-")) &amp; IF(Q11="","",TEXT(Q11,"M/D")) &amp; " "</f>
        <v xml:space="preserve">    100.00% 프로젝트 수행 및 통제 9/13-5/20 </v>
      </c>
      <c r="BQ11" s="209"/>
      <c r="BR11" s="209"/>
      <c r="BS11" s="209"/>
      <c r="BT11" s="209"/>
      <c r="BU11" s="209"/>
      <c r="BV11" s="209"/>
      <c r="BW11" s="209"/>
      <c r="BX11" s="209"/>
      <c r="BY11" s="209"/>
      <c r="BZ11" s="209"/>
      <c r="CA11" s="209"/>
      <c r="CB11" s="209"/>
      <c r="CC11" s="209"/>
      <c r="CD11" s="209"/>
      <c r="CE11" s="209"/>
      <c r="CF11" s="209"/>
      <c r="CG11" s="209"/>
      <c r="CH11" s="209"/>
      <c r="CI11" s="209"/>
      <c r="CJ11" s="209"/>
      <c r="CK11" s="209"/>
      <c r="CL11" s="209"/>
      <c r="CM11" s="209"/>
      <c r="CN11" s="209"/>
      <c r="CO11" s="209"/>
      <c r="CP11" s="209"/>
      <c r="CQ11" s="209"/>
      <c r="CR11" s="209"/>
      <c r="CS11" s="209"/>
    </row>
    <row r="12" spans="1:486" outlineLevel="2">
      <c r="A12" s="223"/>
      <c r="B12" s="223"/>
      <c r="C12" s="223">
        <v>3</v>
      </c>
      <c r="D12" s="237" t="s">
        <v>1181</v>
      </c>
      <c r="E12" s="224"/>
      <c r="F12" s="224"/>
      <c r="G12" s="224" t="s">
        <v>1311</v>
      </c>
      <c r="H12" s="224"/>
      <c r="I12" s="224"/>
      <c r="J12" s="224"/>
      <c r="K12" s="224"/>
      <c r="L12" s="224"/>
      <c r="M12" s="224"/>
      <c r="N12" s="224"/>
      <c r="O12" s="224"/>
      <c r="P12" s="225">
        <v>43721</v>
      </c>
      <c r="Q12" s="225">
        <v>43725</v>
      </c>
      <c r="R12" s="227"/>
      <c r="S12" s="228">
        <v>2</v>
      </c>
      <c r="T12" s="228">
        <v>2</v>
      </c>
      <c r="U12" s="226">
        <v>2</v>
      </c>
      <c r="V12" s="226">
        <v>2</v>
      </c>
      <c r="W12" s="225">
        <v>43724</v>
      </c>
      <c r="X12" s="225">
        <v>43728</v>
      </c>
      <c r="Y12" s="229">
        <v>5</v>
      </c>
      <c r="Z12" s="230">
        <v>5</v>
      </c>
      <c r="AA12" s="231">
        <v>1</v>
      </c>
      <c r="AB12" s="255" t="s">
        <v>1404</v>
      </c>
      <c r="AC12" s="232"/>
      <c r="AD12" s="233">
        <v>1</v>
      </c>
      <c r="AE12" s="234">
        <v>1</v>
      </c>
      <c r="AF12" s="208"/>
      <c r="AG12" s="209" t="str">
        <f>"   " &amp; TEXT(AE12,"#0.00%") &amp; " " &amp; "월간보고1" &amp; "(김동환)" &amp; " " &amp; IF(P12="","",TEXT(P12,"M/D-")) &amp; IF(Q12="","",TEXT(Q12,"M/D")) &amp; " "</f>
        <v xml:space="preserve">   100.00% 월간보고1(김동환) 9/13-9/17 </v>
      </c>
      <c r="AH12" s="209"/>
      <c r="AI12" s="209"/>
      <c r="AJ12" s="209"/>
      <c r="AK12" s="209"/>
      <c r="AL12" s="209"/>
      <c r="AM12" s="209"/>
      <c r="AN12" s="209"/>
      <c r="AO12" s="209"/>
      <c r="AP12" s="209"/>
      <c r="AQ12" s="209"/>
      <c r="AR12" s="209"/>
      <c r="AS12" s="209"/>
      <c r="AT12" s="209"/>
      <c r="AU12" s="209"/>
      <c r="AV12" s="209"/>
      <c r="AW12" s="209"/>
      <c r="AX12" s="209"/>
      <c r="AY12" s="209"/>
      <c r="AZ12" s="209"/>
      <c r="BA12" s="209"/>
      <c r="BB12" s="209"/>
      <c r="BC12" s="209"/>
      <c r="BD12" s="209"/>
      <c r="BE12" s="209"/>
      <c r="BF12" s="209"/>
      <c r="BG12" s="209"/>
      <c r="BH12" s="209"/>
      <c r="BI12" s="209"/>
      <c r="BJ12" s="209"/>
      <c r="BK12" s="209"/>
      <c r="BL12" s="209"/>
      <c r="BM12" s="209"/>
      <c r="BN12" s="209"/>
      <c r="BO12" s="209"/>
      <c r="BP12" s="209"/>
      <c r="BQ12" s="209"/>
      <c r="BR12" s="209"/>
      <c r="BS12" s="209"/>
      <c r="BT12" s="209"/>
      <c r="BU12" s="209"/>
      <c r="BV12" s="209"/>
      <c r="BW12" s="209"/>
      <c r="BX12" s="209"/>
      <c r="BY12" s="209"/>
      <c r="BZ12" s="209"/>
      <c r="CA12" s="209"/>
      <c r="CB12" s="209"/>
      <c r="CC12" s="209"/>
      <c r="CD12" s="209"/>
      <c r="CE12" s="209"/>
      <c r="CF12" s="209"/>
      <c r="CG12" s="209"/>
      <c r="CH12" s="209"/>
      <c r="CI12" s="209"/>
      <c r="CJ12" s="209"/>
      <c r="CK12" s="209"/>
      <c r="CL12" s="209"/>
      <c r="CM12" s="209"/>
      <c r="CN12" s="209"/>
      <c r="CO12" s="209"/>
      <c r="CP12" s="209"/>
      <c r="CQ12" s="209"/>
      <c r="CR12" s="209"/>
      <c r="CS12" s="209"/>
    </row>
    <row r="13" spans="1:486" outlineLevel="2">
      <c r="A13" s="223"/>
      <c r="B13" s="223"/>
      <c r="C13" s="223">
        <v>3</v>
      </c>
      <c r="D13" s="237" t="s">
        <v>1229</v>
      </c>
      <c r="E13" s="224"/>
      <c r="F13" s="224"/>
      <c r="G13" s="224" t="s">
        <v>1312</v>
      </c>
      <c r="H13" s="224"/>
      <c r="I13" s="224"/>
      <c r="J13" s="224"/>
      <c r="K13" s="224"/>
      <c r="L13" s="224"/>
      <c r="M13" s="224"/>
      <c r="N13" s="224"/>
      <c r="O13" s="224"/>
      <c r="P13" s="225">
        <v>43753</v>
      </c>
      <c r="Q13" s="225">
        <v>43753</v>
      </c>
      <c r="R13" s="227"/>
      <c r="S13" s="228">
        <v>1</v>
      </c>
      <c r="T13" s="228">
        <v>1</v>
      </c>
      <c r="U13" s="226">
        <v>1</v>
      </c>
      <c r="V13" s="226">
        <v>1</v>
      </c>
      <c r="W13" s="225"/>
      <c r="X13" s="225"/>
      <c r="Y13" s="229"/>
      <c r="Z13" s="230">
        <v>0</v>
      </c>
      <c r="AA13" s="231">
        <v>1</v>
      </c>
      <c r="AB13" s="255" t="s">
        <v>1404</v>
      </c>
      <c r="AC13" s="232"/>
      <c r="AD13" s="233">
        <v>1</v>
      </c>
      <c r="AE13" s="234">
        <v>1</v>
      </c>
      <c r="AF13" s="208"/>
      <c r="AG13" s="209"/>
      <c r="AH13" s="209"/>
      <c r="AI13" s="209"/>
      <c r="AJ13" s="209"/>
      <c r="AK13" s="209" t="str">
        <f>"   " &amp; TEXT(AE13,"#0.00%") &amp; " " &amp; "월간보고2" &amp; "(김동환)" &amp; " " &amp; IF(P13="","",TEXT(P13,"M/D-")) &amp; IF(Q13="","",TEXT(Q13,"M/D")) &amp; " "</f>
        <v xml:space="preserve">   100.00% 월간보고2(김동환) 10/15-10/15 </v>
      </c>
      <c r="AL13" s="209"/>
      <c r="AM13" s="209"/>
      <c r="AN13" s="209"/>
      <c r="AO13" s="209"/>
      <c r="AP13" s="209"/>
      <c r="AQ13" s="209"/>
      <c r="AR13" s="209"/>
      <c r="AS13" s="209"/>
      <c r="AT13" s="209"/>
      <c r="AU13" s="209"/>
      <c r="AV13" s="209"/>
      <c r="AW13" s="209"/>
      <c r="AX13" s="209"/>
      <c r="AY13" s="209"/>
      <c r="AZ13" s="209"/>
      <c r="BA13" s="209"/>
      <c r="BB13" s="209"/>
      <c r="BC13" s="209"/>
      <c r="BD13" s="209"/>
      <c r="BE13" s="209"/>
      <c r="BF13" s="209"/>
      <c r="BG13" s="209"/>
      <c r="BH13" s="209"/>
      <c r="BI13" s="209"/>
      <c r="BJ13" s="209"/>
      <c r="BK13" s="209"/>
      <c r="BL13" s="209"/>
      <c r="BM13" s="209"/>
      <c r="BN13" s="209"/>
      <c r="BO13" s="209"/>
      <c r="BP13" s="209"/>
      <c r="BQ13" s="209"/>
      <c r="BR13" s="209"/>
      <c r="BS13" s="209"/>
      <c r="BT13" s="209"/>
      <c r="BU13" s="209"/>
      <c r="BV13" s="209"/>
      <c r="BW13" s="209"/>
      <c r="BX13" s="209"/>
      <c r="BY13" s="209"/>
      <c r="BZ13" s="209"/>
      <c r="CA13" s="209"/>
      <c r="CB13" s="209"/>
      <c r="CC13" s="209"/>
      <c r="CD13" s="209"/>
      <c r="CE13" s="209"/>
      <c r="CF13" s="209"/>
      <c r="CG13" s="209"/>
      <c r="CH13" s="209"/>
      <c r="CI13" s="209"/>
      <c r="CJ13" s="209"/>
      <c r="CK13" s="209"/>
      <c r="CL13" s="209"/>
      <c r="CM13" s="209"/>
      <c r="CN13" s="209"/>
      <c r="CO13" s="209"/>
      <c r="CP13" s="209"/>
      <c r="CQ13" s="209"/>
      <c r="CR13" s="209"/>
      <c r="CS13" s="209"/>
    </row>
    <row r="14" spans="1:486" outlineLevel="2">
      <c r="A14" s="223"/>
      <c r="B14" s="223"/>
      <c r="C14" s="223">
        <v>3</v>
      </c>
      <c r="D14" s="237" t="s">
        <v>1313</v>
      </c>
      <c r="E14" s="224"/>
      <c r="F14" s="224"/>
      <c r="G14" s="224" t="s">
        <v>1314</v>
      </c>
      <c r="H14" s="224"/>
      <c r="I14" s="224"/>
      <c r="J14" s="224"/>
      <c r="K14" s="224"/>
      <c r="L14" s="224"/>
      <c r="M14" s="224"/>
      <c r="N14" s="224"/>
      <c r="O14" s="224"/>
      <c r="P14" s="225">
        <v>43789</v>
      </c>
      <c r="Q14" s="225">
        <v>43814</v>
      </c>
      <c r="R14" s="227"/>
      <c r="S14" s="228">
        <v>18</v>
      </c>
      <c r="T14" s="228">
        <v>18</v>
      </c>
      <c r="U14" s="226">
        <v>18</v>
      </c>
      <c r="V14" s="226">
        <v>18</v>
      </c>
      <c r="W14" s="225"/>
      <c r="X14" s="225"/>
      <c r="Y14" s="229"/>
      <c r="Z14" s="230">
        <v>0</v>
      </c>
      <c r="AA14" s="231">
        <v>1</v>
      </c>
      <c r="AB14" s="255" t="s">
        <v>1404</v>
      </c>
      <c r="AC14" s="232"/>
      <c r="AD14" s="233">
        <v>1</v>
      </c>
      <c r="AE14" s="234">
        <v>1</v>
      </c>
      <c r="AF14" s="208"/>
      <c r="AG14" s="209"/>
      <c r="AH14" s="209"/>
      <c r="AI14" s="209"/>
      <c r="AJ14" s="209"/>
      <c r="AK14" s="209"/>
      <c r="AL14" s="209"/>
      <c r="AM14" s="209"/>
      <c r="AN14" s="209"/>
      <c r="AO14" s="209"/>
      <c r="AP14" s="209"/>
      <c r="AQ14" s="209"/>
      <c r="AR14" s="209"/>
      <c r="AS14" s="209"/>
      <c r="AT14" s="209" t="str">
        <f>" " &amp; TEXT(AE14,"#0.00%") &amp; " " &amp; "월간보고3" &amp; "(김동환)" &amp; " " &amp; IF(P14="","",TEXT(P14,"M/D-")) &amp; IF(Q14="","",TEXT(Q14,"M/D")) &amp; " "</f>
        <v xml:space="preserve"> 100.00% 월간보고3(김동환) 11/20-12/15 </v>
      </c>
      <c r="AU14" s="209"/>
      <c r="AV14" s="209"/>
      <c r="AW14" s="209"/>
      <c r="AX14" s="209"/>
      <c r="AY14" s="209"/>
      <c r="AZ14" s="209"/>
      <c r="BA14" s="209"/>
      <c r="BB14" s="209"/>
      <c r="BC14" s="209"/>
      <c r="BD14" s="209"/>
      <c r="BE14" s="209"/>
      <c r="BF14" s="209"/>
      <c r="BG14" s="209"/>
      <c r="BH14" s="209"/>
      <c r="BI14" s="209"/>
      <c r="BJ14" s="209"/>
      <c r="BK14" s="209"/>
      <c r="BL14" s="209"/>
      <c r="BM14" s="209"/>
      <c r="BN14" s="209"/>
      <c r="BO14" s="209"/>
      <c r="BP14" s="209"/>
      <c r="BQ14" s="209"/>
      <c r="BR14" s="209"/>
      <c r="BS14" s="209"/>
      <c r="BT14" s="209"/>
      <c r="BU14" s="209"/>
      <c r="BV14" s="209"/>
      <c r="BW14" s="209"/>
      <c r="BX14" s="209"/>
      <c r="BY14" s="209"/>
      <c r="BZ14" s="209"/>
      <c r="CA14" s="209"/>
      <c r="CB14" s="209"/>
      <c r="CC14" s="209"/>
      <c r="CD14" s="209"/>
      <c r="CE14" s="209"/>
      <c r="CF14" s="209"/>
      <c r="CG14" s="209"/>
      <c r="CH14" s="209"/>
      <c r="CI14" s="209"/>
      <c r="CJ14" s="209"/>
      <c r="CK14" s="209"/>
      <c r="CL14" s="209"/>
      <c r="CM14" s="209"/>
      <c r="CN14" s="209"/>
      <c r="CO14" s="209"/>
      <c r="CP14" s="209"/>
      <c r="CQ14" s="209"/>
      <c r="CR14" s="209"/>
      <c r="CS14" s="209"/>
    </row>
    <row r="15" spans="1:486" outlineLevel="2">
      <c r="A15" s="223"/>
      <c r="B15" s="223"/>
      <c r="C15" s="223">
        <v>3</v>
      </c>
      <c r="D15" s="237" t="s">
        <v>1315</v>
      </c>
      <c r="E15" s="224"/>
      <c r="F15" s="224"/>
      <c r="G15" s="224" t="s">
        <v>1316</v>
      </c>
      <c r="H15" s="224"/>
      <c r="I15" s="224"/>
      <c r="J15" s="224"/>
      <c r="K15" s="224"/>
      <c r="L15" s="224"/>
      <c r="M15" s="224"/>
      <c r="N15" s="224"/>
      <c r="O15" s="224"/>
      <c r="P15" s="225">
        <v>43941</v>
      </c>
      <c r="Q15" s="225">
        <v>43971</v>
      </c>
      <c r="R15" s="227"/>
      <c r="S15" s="228">
        <v>21</v>
      </c>
      <c r="T15" s="228">
        <v>1</v>
      </c>
      <c r="U15" s="226">
        <v>21</v>
      </c>
      <c r="V15" s="226">
        <v>1</v>
      </c>
      <c r="W15" s="225">
        <v>43725</v>
      </c>
      <c r="X15" s="225">
        <v>43727</v>
      </c>
      <c r="Y15" s="229">
        <v>3</v>
      </c>
      <c r="Z15" s="230">
        <v>3</v>
      </c>
      <c r="AA15" s="231">
        <v>1</v>
      </c>
      <c r="AB15" s="255" t="s">
        <v>1405</v>
      </c>
      <c r="AC15" s="232"/>
      <c r="AD15" s="233">
        <v>4.7619047619047616E-2</v>
      </c>
      <c r="AE15" s="234">
        <v>1</v>
      </c>
      <c r="AF15" s="208"/>
      <c r="AG15" s="209"/>
      <c r="AH15" s="209"/>
      <c r="AI15" s="209"/>
      <c r="AJ15" s="209"/>
      <c r="AK15" s="209"/>
      <c r="AL15" s="209"/>
      <c r="AM15" s="209"/>
      <c r="AN15" s="209"/>
      <c r="AO15" s="209"/>
      <c r="AP15" s="209"/>
      <c r="AQ15" s="209"/>
      <c r="AR15" s="209"/>
      <c r="AS15" s="209"/>
      <c r="AT15" s="209"/>
      <c r="AU15" s="209"/>
      <c r="AV15" s="209"/>
      <c r="AW15" s="209"/>
      <c r="AX15" s="209"/>
      <c r="AY15" s="209"/>
      <c r="AZ15" s="209"/>
      <c r="BA15" s="209"/>
      <c r="BB15" s="209"/>
      <c r="BC15" s="209"/>
      <c r="BD15" s="209"/>
      <c r="BE15" s="209"/>
      <c r="BF15" s="209"/>
      <c r="BG15" s="209"/>
      <c r="BH15" s="209"/>
      <c r="BI15" s="209"/>
      <c r="BJ15" s="209"/>
      <c r="BK15" s="209"/>
      <c r="BL15" s="209"/>
      <c r="BM15" s="209"/>
      <c r="BN15" s="209"/>
      <c r="BO15" s="209"/>
      <c r="BP15" s="209" t="str">
        <f>"    " &amp; TEXT(AE15,"#0.00%") &amp; " " &amp; "중간보고" &amp; "(1조 전원)" &amp; " " &amp; IF(P15="","",TEXT(P15,"M/D-")) &amp; IF(Q15="","",TEXT(Q15,"M/D")) &amp; " "</f>
        <v xml:space="preserve">    100.00% 중간보고(1조 전원) 4/20-5/20 </v>
      </c>
      <c r="BQ15" s="209"/>
      <c r="BR15" s="209"/>
      <c r="BS15" s="209"/>
      <c r="BT15" s="209"/>
      <c r="BU15" s="209"/>
      <c r="BV15" s="209"/>
      <c r="BW15" s="209"/>
      <c r="BX15" s="209"/>
      <c r="BY15" s="209"/>
      <c r="BZ15" s="209"/>
      <c r="CA15" s="209"/>
      <c r="CB15" s="209"/>
      <c r="CC15" s="209"/>
      <c r="CD15" s="209"/>
      <c r="CE15" s="209"/>
      <c r="CF15" s="209"/>
      <c r="CG15" s="209"/>
      <c r="CH15" s="209"/>
      <c r="CI15" s="209"/>
      <c r="CJ15" s="209"/>
      <c r="CK15" s="209"/>
      <c r="CL15" s="209"/>
      <c r="CM15" s="209"/>
      <c r="CN15" s="209"/>
      <c r="CO15" s="209"/>
      <c r="CP15" s="209"/>
      <c r="CQ15" s="209"/>
      <c r="CR15" s="209"/>
      <c r="CS15" s="209"/>
    </row>
    <row r="16" spans="1:486" outlineLevel="2">
      <c r="A16" s="223"/>
      <c r="B16" s="223"/>
      <c r="C16" s="223">
        <v>0</v>
      </c>
      <c r="D16" s="237"/>
      <c r="E16" s="224"/>
      <c r="F16" s="224"/>
      <c r="G16" s="224"/>
      <c r="H16" s="224"/>
      <c r="I16" s="224"/>
      <c r="J16" s="224"/>
      <c r="K16" s="224"/>
      <c r="L16" s="224"/>
      <c r="M16" s="224"/>
      <c r="N16" s="224"/>
      <c r="O16" s="224"/>
      <c r="P16" s="225"/>
      <c r="Q16" s="225"/>
      <c r="R16" s="227"/>
      <c r="S16" s="228"/>
      <c r="T16" s="228"/>
      <c r="U16" s="226">
        <v>0</v>
      </c>
      <c r="V16" s="226">
        <v>0</v>
      </c>
      <c r="W16" s="225"/>
      <c r="X16" s="225"/>
      <c r="Y16" s="229"/>
      <c r="Z16" s="230">
        <v>0</v>
      </c>
      <c r="AA16" s="231">
        <v>1</v>
      </c>
      <c r="AB16" s="227"/>
      <c r="AC16" s="232"/>
      <c r="AD16" s="233"/>
      <c r="AE16" s="234"/>
      <c r="AF16" s="208"/>
      <c r="AG16" s="209"/>
      <c r="AH16" s="209"/>
      <c r="AI16" s="209"/>
      <c r="AJ16" s="209"/>
      <c r="AK16" s="209"/>
      <c r="AL16" s="209"/>
      <c r="AM16" s="209"/>
      <c r="AN16" s="209"/>
      <c r="AO16" s="209"/>
      <c r="AP16" s="209"/>
      <c r="AQ16" s="209"/>
      <c r="AR16" s="209"/>
      <c r="AS16" s="209"/>
      <c r="AT16" s="209"/>
      <c r="AU16" s="209"/>
      <c r="AV16" s="209"/>
      <c r="AW16" s="209"/>
      <c r="AX16" s="209"/>
      <c r="AY16" s="209"/>
      <c r="AZ16" s="209"/>
      <c r="BA16" s="209"/>
      <c r="BB16" s="209"/>
      <c r="BC16" s="209"/>
      <c r="BD16" s="209"/>
      <c r="BE16" s="209"/>
      <c r="BF16" s="209"/>
      <c r="BG16" s="209"/>
      <c r="BH16" s="209"/>
      <c r="BI16" s="209"/>
      <c r="BJ16" s="209"/>
      <c r="BK16" s="209"/>
      <c r="BL16" s="209"/>
      <c r="BM16" s="209"/>
      <c r="BN16" s="209"/>
      <c r="BO16" s="209"/>
      <c r="BP16" s="209"/>
      <c r="BQ16" s="209"/>
      <c r="BR16" s="209"/>
      <c r="BS16" s="209"/>
      <c r="BT16" s="209"/>
      <c r="BU16" s="209"/>
      <c r="BV16" s="209"/>
      <c r="BW16" s="209"/>
      <c r="BX16" s="209"/>
      <c r="BY16" s="209"/>
      <c r="BZ16" s="209"/>
      <c r="CA16" s="209"/>
      <c r="CB16" s="209"/>
      <c r="CC16" s="209"/>
      <c r="CD16" s="209"/>
      <c r="CE16" s="209"/>
      <c r="CF16" s="209"/>
      <c r="CG16" s="209"/>
      <c r="CH16" s="209"/>
      <c r="CI16" s="209"/>
      <c r="CJ16" s="209"/>
      <c r="CK16" s="209"/>
      <c r="CL16" s="209"/>
      <c r="CM16" s="209"/>
      <c r="CN16" s="209"/>
      <c r="CO16" s="209"/>
      <c r="CP16" s="209"/>
      <c r="CQ16" s="209"/>
      <c r="CR16" s="209"/>
      <c r="CS16" s="209"/>
    </row>
    <row r="17" spans="1:97" outlineLevel="1">
      <c r="A17" s="223"/>
      <c r="B17" s="223" t="s">
        <v>1300</v>
      </c>
      <c r="C17" s="223">
        <v>2</v>
      </c>
      <c r="D17" s="237" t="s">
        <v>1182</v>
      </c>
      <c r="E17" s="224"/>
      <c r="F17" s="224" t="s">
        <v>1317</v>
      </c>
      <c r="G17" s="224"/>
      <c r="H17" s="224"/>
      <c r="I17" s="224"/>
      <c r="J17" s="224"/>
      <c r="K17" s="224"/>
      <c r="L17" s="224"/>
      <c r="M17" s="224"/>
      <c r="N17" s="224"/>
      <c r="O17" s="224"/>
      <c r="P17" s="225">
        <v>44007</v>
      </c>
      <c r="Q17" s="225">
        <v>44012</v>
      </c>
      <c r="R17" s="227"/>
      <c r="S17" s="228">
        <v>424</v>
      </c>
      <c r="T17" s="228">
        <v>0</v>
      </c>
      <c r="U17" s="226">
        <v>106</v>
      </c>
      <c r="V17" s="226">
        <v>0</v>
      </c>
      <c r="W17" s="225"/>
      <c r="X17" s="225"/>
      <c r="Y17" s="229">
        <v>0</v>
      </c>
      <c r="Z17" s="230">
        <v>0</v>
      </c>
      <c r="AA17" s="231"/>
      <c r="AB17" s="227"/>
      <c r="AC17" s="232"/>
      <c r="AD17" s="233">
        <v>0</v>
      </c>
      <c r="AE17" s="234">
        <v>0</v>
      </c>
      <c r="AF17" s="208"/>
      <c r="AG17" s="209"/>
      <c r="AH17" s="209"/>
      <c r="AI17" s="209"/>
      <c r="AJ17" s="209"/>
      <c r="AK17" s="209"/>
      <c r="AL17" s="209"/>
      <c r="AM17" s="209"/>
      <c r="AN17" s="209"/>
      <c r="AO17" s="209"/>
      <c r="AP17" s="209"/>
      <c r="AQ17" s="209"/>
      <c r="AR17" s="209"/>
      <c r="AS17" s="209"/>
      <c r="AT17" s="209"/>
      <c r="AU17" s="209"/>
      <c r="AV17" s="209"/>
      <c r="AW17" s="209"/>
      <c r="AX17" s="209"/>
      <c r="AY17" s="209"/>
      <c r="AZ17" s="209"/>
      <c r="BA17" s="209"/>
      <c r="BB17" s="209"/>
      <c r="BC17" s="209"/>
      <c r="BD17" s="209"/>
      <c r="BE17" s="209"/>
      <c r="BF17" s="209"/>
      <c r="BG17" s="209"/>
      <c r="BH17" s="209"/>
      <c r="BI17" s="209"/>
      <c r="BJ17" s="209"/>
      <c r="BK17" s="209"/>
      <c r="BL17" s="209"/>
      <c r="BM17" s="209"/>
      <c r="BN17" s="209"/>
      <c r="BO17" s="209"/>
      <c r="BP17" s="209"/>
      <c r="BQ17" s="209"/>
      <c r="BR17" s="209"/>
      <c r="BS17" s="209"/>
      <c r="BT17" s="209"/>
      <c r="BU17" s="209"/>
      <c r="BV17" s="209" t="str">
        <f>"  " &amp; TEXT(AE17,"#0.00%") &amp; " "</f>
        <v xml:space="preserve">  0.00% </v>
      </c>
      <c r="BW17" s="209"/>
      <c r="BX17" s="209"/>
      <c r="BY17" s="209"/>
      <c r="BZ17" s="209"/>
      <c r="CA17" s="209"/>
      <c r="CB17" s="209"/>
      <c r="CC17" s="209"/>
      <c r="CD17" s="209"/>
      <c r="CE17" s="209"/>
      <c r="CF17" s="209"/>
      <c r="CG17" s="209"/>
      <c r="CH17" s="209"/>
      <c r="CI17" s="209"/>
      <c r="CJ17" s="209"/>
      <c r="CK17" s="209"/>
      <c r="CL17" s="209"/>
      <c r="CM17" s="209"/>
      <c r="CN17" s="209"/>
      <c r="CO17" s="209"/>
      <c r="CP17" s="209"/>
      <c r="CQ17" s="209"/>
      <c r="CR17" s="209" t="str">
        <f>"  " &amp; "프로젝트 종료" &amp; " " &amp; IF(P17="","",TEXT(P17,"M/D-")) &amp; IF(Q17="","",TEXT(Q17,"M/D")) &amp; " "</f>
        <v xml:space="preserve">  프로젝트 종료 6/25-6/30 </v>
      </c>
      <c r="CS17" s="209"/>
    </row>
    <row r="18" spans="1:97" outlineLevel="2">
      <c r="A18" s="223"/>
      <c r="B18" s="223"/>
      <c r="C18" s="223">
        <v>3</v>
      </c>
      <c r="D18" s="237" t="s">
        <v>1183</v>
      </c>
      <c r="E18" s="224"/>
      <c r="F18" s="224"/>
      <c r="G18" s="224" t="s">
        <v>1318</v>
      </c>
      <c r="H18" s="224"/>
      <c r="I18" s="224"/>
      <c r="J18" s="224"/>
      <c r="K18" s="224"/>
      <c r="L18" s="224"/>
      <c r="M18" s="224"/>
      <c r="N18" s="224"/>
      <c r="O18" s="224"/>
      <c r="P18" s="225">
        <v>44007</v>
      </c>
      <c r="Q18" s="225">
        <v>44008</v>
      </c>
      <c r="R18" s="227"/>
      <c r="S18" s="228">
        <v>106</v>
      </c>
      <c r="T18" s="228">
        <v>0</v>
      </c>
      <c r="U18" s="226">
        <v>106</v>
      </c>
      <c r="V18" s="226">
        <v>0</v>
      </c>
      <c r="W18" s="225"/>
      <c r="X18" s="225"/>
      <c r="Y18" s="229"/>
      <c r="Z18" s="230">
        <v>0</v>
      </c>
      <c r="AA18" s="231">
        <v>1</v>
      </c>
      <c r="AB18" s="255" t="s">
        <v>1406</v>
      </c>
      <c r="AC18" s="232"/>
      <c r="AD18" s="233">
        <v>0</v>
      </c>
      <c r="AE18" s="234">
        <v>0</v>
      </c>
      <c r="AF18" s="208"/>
      <c r="AG18" s="209"/>
      <c r="AH18" s="209"/>
      <c r="AI18" s="209"/>
      <c r="AJ18" s="209"/>
      <c r="AK18" s="209"/>
      <c r="AL18" s="209"/>
      <c r="AM18" s="209"/>
      <c r="AN18" s="209"/>
      <c r="AO18" s="209"/>
      <c r="AP18" s="209"/>
      <c r="AQ18" s="209"/>
      <c r="AR18" s="209"/>
      <c r="AS18" s="209"/>
      <c r="AT18" s="209"/>
      <c r="AU18" s="209"/>
      <c r="AV18" s="209"/>
      <c r="AW18" s="209"/>
      <c r="AX18" s="209"/>
      <c r="AY18" s="209"/>
      <c r="AZ18" s="209"/>
      <c r="BA18" s="209"/>
      <c r="BB18" s="209"/>
      <c r="BC18" s="209"/>
      <c r="BD18" s="209"/>
      <c r="BE18" s="209"/>
      <c r="BF18" s="209"/>
      <c r="BG18" s="209"/>
      <c r="BH18" s="209"/>
      <c r="BI18" s="209"/>
      <c r="BJ18" s="209"/>
      <c r="BK18" s="209"/>
      <c r="BL18" s="209"/>
      <c r="BM18" s="209"/>
      <c r="BN18" s="209"/>
      <c r="BO18" s="209"/>
      <c r="BP18" s="209"/>
      <c r="BQ18" s="209"/>
      <c r="BR18" s="209"/>
      <c r="BS18" s="209"/>
      <c r="BT18" s="209"/>
      <c r="BU18" s="209"/>
      <c r="BV18" s="209" t="str">
        <f>"  " &amp; TEXT(AE18,"#0.00%") &amp; " "</f>
        <v xml:space="preserve">  0.00% </v>
      </c>
      <c r="BW18" s="209"/>
      <c r="BX18" s="209"/>
      <c r="BY18" s="209"/>
      <c r="BZ18" s="209"/>
      <c r="CA18" s="209"/>
      <c r="CB18" s="209"/>
      <c r="CC18" s="209"/>
      <c r="CD18" s="209"/>
      <c r="CE18" s="209"/>
      <c r="CF18" s="209"/>
      <c r="CG18" s="209"/>
      <c r="CH18" s="209"/>
      <c r="CI18" s="209"/>
      <c r="CJ18" s="209"/>
      <c r="CK18" s="209"/>
      <c r="CL18" s="209"/>
      <c r="CM18" s="209"/>
      <c r="CN18" s="209"/>
      <c r="CO18" s="209"/>
      <c r="CP18" s="209"/>
      <c r="CQ18" s="209"/>
      <c r="CR18" s="209" t="str">
        <f>"  " &amp; "종료계획수립" &amp; "(김민석)" &amp; " " &amp; IF(P18="","",TEXT(P18,"M/D-")) &amp; IF(Q18="","",TEXT(Q18,"M/D")) &amp; " "</f>
        <v xml:space="preserve">  종료계획수립(김민석) 6/25-6/26 </v>
      </c>
      <c r="CS18" s="209"/>
    </row>
    <row r="19" spans="1:97" outlineLevel="2">
      <c r="A19" s="223"/>
      <c r="B19" s="223"/>
      <c r="C19" s="223">
        <v>3</v>
      </c>
      <c r="D19" s="237" t="s">
        <v>1230</v>
      </c>
      <c r="E19" s="224"/>
      <c r="F19" s="224"/>
      <c r="G19" s="224" t="s">
        <v>1319</v>
      </c>
      <c r="H19" s="224"/>
      <c r="I19" s="224"/>
      <c r="J19" s="224"/>
      <c r="K19" s="224"/>
      <c r="L19" s="224"/>
      <c r="M19" s="224"/>
      <c r="N19" s="224"/>
      <c r="O19" s="224"/>
      <c r="P19" s="225">
        <v>44008</v>
      </c>
      <c r="Q19" s="225">
        <v>44010</v>
      </c>
      <c r="R19" s="227"/>
      <c r="S19" s="228">
        <v>106</v>
      </c>
      <c r="T19" s="228">
        <v>0</v>
      </c>
      <c r="U19" s="226">
        <v>106</v>
      </c>
      <c r="V19" s="226">
        <v>0</v>
      </c>
      <c r="W19" s="225"/>
      <c r="X19" s="225"/>
      <c r="Y19" s="229"/>
      <c r="Z19" s="230">
        <v>0</v>
      </c>
      <c r="AA19" s="231">
        <v>1</v>
      </c>
      <c r="AB19" s="255" t="s">
        <v>1435</v>
      </c>
      <c r="AC19" s="232"/>
      <c r="AD19" s="233">
        <v>0</v>
      </c>
      <c r="AE19" s="234">
        <v>0</v>
      </c>
      <c r="AF19" s="208"/>
      <c r="AG19" s="209"/>
      <c r="AH19" s="209"/>
      <c r="AI19" s="209"/>
      <c r="AJ19" s="209"/>
      <c r="AK19" s="209"/>
      <c r="AL19" s="209"/>
      <c r="AM19" s="209"/>
      <c r="AN19" s="209"/>
      <c r="AO19" s="209"/>
      <c r="AP19" s="209"/>
      <c r="AQ19" s="209"/>
      <c r="AR19" s="209"/>
      <c r="AS19" s="209"/>
      <c r="AT19" s="209"/>
      <c r="AU19" s="209"/>
      <c r="AV19" s="209"/>
      <c r="AW19" s="209"/>
      <c r="AX19" s="209"/>
      <c r="AY19" s="209"/>
      <c r="AZ19" s="209"/>
      <c r="BA19" s="209"/>
      <c r="BB19" s="209"/>
      <c r="BC19" s="209"/>
      <c r="BD19" s="209"/>
      <c r="BE19" s="209"/>
      <c r="BF19" s="209"/>
      <c r="BG19" s="209"/>
      <c r="BH19" s="209"/>
      <c r="BI19" s="209"/>
      <c r="BJ19" s="209"/>
      <c r="BK19" s="209"/>
      <c r="BL19" s="209"/>
      <c r="BM19" s="209"/>
      <c r="BN19" s="209"/>
      <c r="BO19" s="209"/>
      <c r="BP19" s="209"/>
      <c r="BQ19" s="209"/>
      <c r="BR19" s="209"/>
      <c r="BS19" s="209"/>
      <c r="BT19" s="209"/>
      <c r="BU19" s="209"/>
      <c r="BV19" s="209" t="str">
        <f>"  " &amp; TEXT(AE19,"#0.00%") &amp; " "</f>
        <v xml:space="preserve">  0.00% </v>
      </c>
      <c r="BW19" s="209"/>
      <c r="BX19" s="209"/>
      <c r="BY19" s="209"/>
      <c r="BZ19" s="209"/>
      <c r="CA19" s="209"/>
      <c r="CB19" s="209"/>
      <c r="CC19" s="209"/>
      <c r="CD19" s="209"/>
      <c r="CE19" s="209"/>
      <c r="CF19" s="209"/>
      <c r="CG19" s="209"/>
      <c r="CH19" s="209"/>
      <c r="CI19" s="209"/>
      <c r="CJ19" s="209"/>
      <c r="CK19" s="209"/>
      <c r="CL19" s="209"/>
      <c r="CM19" s="209"/>
      <c r="CN19" s="209"/>
      <c r="CO19" s="209"/>
      <c r="CP19" s="209"/>
      <c r="CQ19" s="209"/>
      <c r="CR19" s="209" t="str">
        <f>"  " &amp; "시스템 인수인계" &amp; "(오지우)" &amp; " " &amp; IF(P19="","",TEXT(P19,"M/D-")) &amp; IF(Q19="","",TEXT(Q19,"M/D")) &amp; " "</f>
        <v xml:space="preserve">  시스템 인수인계(오지우) 6/26-6/28 </v>
      </c>
      <c r="CS19" s="209"/>
    </row>
    <row r="20" spans="1:97" outlineLevel="2">
      <c r="A20" s="223"/>
      <c r="B20" s="223"/>
      <c r="C20" s="223">
        <v>3</v>
      </c>
      <c r="D20" s="237" t="s">
        <v>1320</v>
      </c>
      <c r="E20" s="224"/>
      <c r="F20" s="224"/>
      <c r="G20" s="224" t="s">
        <v>1321</v>
      </c>
      <c r="H20" s="224"/>
      <c r="I20" s="224"/>
      <c r="J20" s="224"/>
      <c r="K20" s="224"/>
      <c r="L20" s="224"/>
      <c r="M20" s="224"/>
      <c r="N20" s="224"/>
      <c r="O20" s="224"/>
      <c r="P20" s="225">
        <v>44010</v>
      </c>
      <c r="Q20" s="225">
        <v>44011</v>
      </c>
      <c r="R20" s="227"/>
      <c r="S20" s="228">
        <v>106</v>
      </c>
      <c r="T20" s="228">
        <v>0</v>
      </c>
      <c r="U20" s="226">
        <v>106</v>
      </c>
      <c r="V20" s="226">
        <v>0</v>
      </c>
      <c r="W20" s="225"/>
      <c r="X20" s="225"/>
      <c r="Y20" s="229"/>
      <c r="Z20" s="230">
        <v>0</v>
      </c>
      <c r="AA20" s="231">
        <v>1</v>
      </c>
      <c r="AB20" s="255" t="s">
        <v>1404</v>
      </c>
      <c r="AC20" s="232"/>
      <c r="AD20" s="233">
        <v>0</v>
      </c>
      <c r="AE20" s="234">
        <v>0</v>
      </c>
      <c r="AF20" s="208"/>
      <c r="AG20" s="209"/>
      <c r="AH20" s="209"/>
      <c r="AI20" s="209"/>
      <c r="AJ20" s="209"/>
      <c r="AK20" s="209"/>
      <c r="AL20" s="209"/>
      <c r="AM20" s="209"/>
      <c r="AN20" s="209"/>
      <c r="AO20" s="209"/>
      <c r="AP20" s="209"/>
      <c r="AQ20" s="209"/>
      <c r="AR20" s="209"/>
      <c r="AS20" s="209"/>
      <c r="AT20" s="209"/>
      <c r="AU20" s="209"/>
      <c r="AV20" s="209"/>
      <c r="AW20" s="209"/>
      <c r="AX20" s="209"/>
      <c r="AY20" s="209"/>
      <c r="AZ20" s="209"/>
      <c r="BA20" s="209"/>
      <c r="BB20" s="209"/>
      <c r="BC20" s="209"/>
      <c r="BD20" s="209"/>
      <c r="BE20" s="209"/>
      <c r="BF20" s="209"/>
      <c r="BG20" s="209"/>
      <c r="BH20" s="209"/>
      <c r="BI20" s="209"/>
      <c r="BJ20" s="209"/>
      <c r="BK20" s="209"/>
      <c r="BL20" s="209"/>
      <c r="BM20" s="209"/>
      <c r="BN20" s="209"/>
      <c r="BO20" s="209"/>
      <c r="BP20" s="209"/>
      <c r="BQ20" s="209"/>
      <c r="BR20" s="209"/>
      <c r="BS20" s="209"/>
      <c r="BT20" s="209"/>
      <c r="BU20" s="209"/>
      <c r="BV20" s="209" t="str">
        <f>"  " &amp; TEXT(AE20,"#0.00%") &amp; " "</f>
        <v xml:space="preserve">  0.00% </v>
      </c>
      <c r="BW20" s="209"/>
      <c r="BX20" s="209"/>
      <c r="BY20" s="209"/>
      <c r="BZ20" s="209"/>
      <c r="CA20" s="209"/>
      <c r="CB20" s="209"/>
      <c r="CC20" s="209"/>
      <c r="CD20" s="209"/>
      <c r="CE20" s="209"/>
      <c r="CF20" s="209"/>
      <c r="CG20" s="209"/>
      <c r="CH20" s="209"/>
      <c r="CI20" s="209"/>
      <c r="CJ20" s="209"/>
      <c r="CK20" s="209"/>
      <c r="CL20" s="209"/>
      <c r="CM20" s="209"/>
      <c r="CN20" s="209"/>
      <c r="CO20" s="209"/>
      <c r="CP20" s="209"/>
      <c r="CQ20" s="209"/>
      <c r="CR20" s="209" t="str">
        <f>"  " &amp; "종료보고" &amp; "(김동환)" &amp; " " &amp; IF(P20="","",TEXT(P20,"M/D-")) &amp; IF(Q20="","",TEXT(Q20,"M/D")) &amp; " "</f>
        <v xml:space="preserve">  종료보고(김동환) 6/28-6/29 </v>
      </c>
      <c r="CS20" s="209"/>
    </row>
    <row r="21" spans="1:97" outlineLevel="2">
      <c r="A21" s="223"/>
      <c r="B21" s="223"/>
      <c r="C21" s="223">
        <v>3</v>
      </c>
      <c r="D21" s="237" t="s">
        <v>1322</v>
      </c>
      <c r="E21" s="224"/>
      <c r="F21" s="224"/>
      <c r="G21" s="224" t="s">
        <v>1323</v>
      </c>
      <c r="H21" s="224"/>
      <c r="I21" s="224"/>
      <c r="J21" s="224"/>
      <c r="K21" s="224"/>
      <c r="L21" s="224"/>
      <c r="M21" s="224"/>
      <c r="N21" s="224"/>
      <c r="O21" s="224"/>
      <c r="P21" s="225">
        <v>44011</v>
      </c>
      <c r="Q21" s="225">
        <v>44012</v>
      </c>
      <c r="R21" s="227"/>
      <c r="S21" s="228">
        <v>106</v>
      </c>
      <c r="T21" s="228">
        <v>0</v>
      </c>
      <c r="U21" s="226">
        <v>106</v>
      </c>
      <c r="V21" s="226">
        <v>0</v>
      </c>
      <c r="W21" s="225"/>
      <c r="X21" s="225"/>
      <c r="Y21" s="229"/>
      <c r="Z21" s="230">
        <v>0</v>
      </c>
      <c r="AA21" s="231">
        <v>1</v>
      </c>
      <c r="AB21" s="227" t="s">
        <v>1405</v>
      </c>
      <c r="AC21" s="232"/>
      <c r="AD21" s="233">
        <v>0</v>
      </c>
      <c r="AE21" s="234">
        <v>0</v>
      </c>
      <c r="AF21" s="208"/>
      <c r="AG21" s="209"/>
      <c r="AH21" s="209"/>
      <c r="AI21" s="209"/>
      <c r="AJ21" s="209"/>
      <c r="AK21" s="209"/>
      <c r="AL21" s="209"/>
      <c r="AM21" s="209"/>
      <c r="AN21" s="209"/>
      <c r="AO21" s="209"/>
      <c r="AP21" s="209"/>
      <c r="AQ21" s="209"/>
      <c r="AR21" s="209"/>
      <c r="AS21" s="209"/>
      <c r="AT21" s="209"/>
      <c r="AU21" s="209"/>
      <c r="AV21" s="209"/>
      <c r="AW21" s="209"/>
      <c r="AX21" s="209"/>
      <c r="AY21" s="209"/>
      <c r="AZ21" s="209"/>
      <c r="BA21" s="209"/>
      <c r="BB21" s="209"/>
      <c r="BC21" s="209"/>
      <c r="BD21" s="209"/>
      <c r="BE21" s="209"/>
      <c r="BF21" s="209"/>
      <c r="BG21" s="209"/>
      <c r="BH21" s="209"/>
      <c r="BI21" s="209"/>
      <c r="BJ21" s="209"/>
      <c r="BK21" s="209"/>
      <c r="BL21" s="209"/>
      <c r="BM21" s="209"/>
      <c r="BN21" s="209"/>
      <c r="BO21" s="209"/>
      <c r="BP21" s="209"/>
      <c r="BQ21" s="209"/>
      <c r="BR21" s="209"/>
      <c r="BS21" s="209"/>
      <c r="BT21" s="209"/>
      <c r="BU21" s="209"/>
      <c r="BV21" s="209" t="str">
        <f>"  " &amp; TEXT(AE21,"#0.00%") &amp; " "</f>
        <v xml:space="preserve">  0.00% </v>
      </c>
      <c r="BW21" s="209"/>
      <c r="BX21" s="209"/>
      <c r="BY21" s="209"/>
      <c r="BZ21" s="209"/>
      <c r="CA21" s="209"/>
      <c r="CB21" s="209"/>
      <c r="CC21" s="209"/>
      <c r="CD21" s="209"/>
      <c r="CE21" s="209"/>
      <c r="CF21" s="209"/>
      <c r="CG21" s="209"/>
      <c r="CH21" s="209"/>
      <c r="CI21" s="209"/>
      <c r="CJ21" s="209"/>
      <c r="CK21" s="209"/>
      <c r="CL21" s="209"/>
      <c r="CM21" s="209"/>
      <c r="CN21" s="209"/>
      <c r="CO21" s="209"/>
      <c r="CP21" s="209"/>
      <c r="CQ21" s="209"/>
      <c r="CR21" s="209" t="str">
        <f>"  " &amp; "검수 및 종료" &amp; "(1조 전원)" &amp; " " &amp; IF(P21="","",TEXT(P21,"M/D-")) &amp; IF(Q21="","",TEXT(Q21,"M/D")) &amp; " "</f>
        <v xml:space="preserve">  검수 및 종료(1조 전원) 6/29-6/30 </v>
      </c>
      <c r="CS21" s="209"/>
    </row>
    <row r="22" spans="1:97">
      <c r="A22" s="223"/>
      <c r="B22" s="223" t="s">
        <v>1300</v>
      </c>
      <c r="C22" s="223">
        <v>1</v>
      </c>
      <c r="D22" s="237" t="s">
        <v>1167</v>
      </c>
      <c r="E22" s="224" t="s">
        <v>1324</v>
      </c>
      <c r="F22" s="224"/>
      <c r="G22" s="224"/>
      <c r="H22" s="224"/>
      <c r="I22" s="224"/>
      <c r="J22" s="224"/>
      <c r="K22" s="224"/>
      <c r="L22" s="224"/>
      <c r="M22" s="224"/>
      <c r="N22" s="224"/>
      <c r="O22" s="224"/>
      <c r="P22" s="225">
        <v>43789</v>
      </c>
      <c r="Q22" s="225">
        <v>43966</v>
      </c>
      <c r="R22" s="227"/>
      <c r="S22" s="228">
        <v>1147</v>
      </c>
      <c r="T22" s="228">
        <v>599</v>
      </c>
      <c r="U22" s="226">
        <v>274</v>
      </c>
      <c r="V22" s="226">
        <v>120</v>
      </c>
      <c r="W22" s="225"/>
      <c r="X22" s="225"/>
      <c r="Y22" s="229">
        <v>0</v>
      </c>
      <c r="Z22" s="230">
        <v>0</v>
      </c>
      <c r="AA22" s="231"/>
      <c r="AB22" s="227"/>
      <c r="AC22" s="232"/>
      <c r="AD22" s="233">
        <v>0.52223190932868357</v>
      </c>
      <c r="AE22" s="234">
        <v>0.66979947689625108</v>
      </c>
      <c r="AF22" s="208"/>
      <c r="AG22" s="209"/>
      <c r="AH22" s="209"/>
      <c r="AI22" s="209"/>
      <c r="AJ22" s="209"/>
      <c r="AK22" s="209"/>
      <c r="AL22" s="209"/>
      <c r="AM22" s="209"/>
      <c r="AN22" s="209"/>
      <c r="AO22" s="209"/>
      <c r="AP22" s="209"/>
      <c r="AQ22" s="209"/>
      <c r="AR22" s="209"/>
      <c r="AS22" s="209"/>
      <c r="AT22" s="209"/>
      <c r="AU22" s="209"/>
      <c r="AV22" s="209"/>
      <c r="AW22" s="209"/>
      <c r="AX22" s="209"/>
      <c r="AY22" s="209"/>
      <c r="AZ22" s="209"/>
      <c r="BA22" s="209"/>
      <c r="BB22" s="209"/>
      <c r="BC22" s="209"/>
      <c r="BD22" s="209"/>
      <c r="BE22" s="209"/>
      <c r="BF22" s="209"/>
      <c r="BG22" s="209"/>
      <c r="BH22" s="209"/>
      <c r="BI22" s="209"/>
      <c r="BJ22" s="209"/>
      <c r="BK22" s="209"/>
      <c r="BL22" s="209"/>
      <c r="BM22" s="209"/>
      <c r="BN22" s="209"/>
      <c r="BO22" s="209"/>
      <c r="BP22" s="209"/>
      <c r="BQ22" s="209"/>
      <c r="BR22" s="209"/>
      <c r="BS22" s="209"/>
      <c r="BT22" s="209"/>
      <c r="BU22" s="209"/>
      <c r="BV22" s="209"/>
      <c r="BW22" s="209"/>
      <c r="BX22" s="209"/>
      <c r="BY22" s="209" t="str">
        <f>"   " &amp; TEXT(AE22,"#0.00%") &amp; " "</f>
        <v xml:space="preserve">   66.98% </v>
      </c>
      <c r="BZ22" s="209"/>
      <c r="CA22" s="209"/>
      <c r="CB22" s="209"/>
      <c r="CC22" s="209"/>
      <c r="CD22" s="209"/>
      <c r="CE22" s="209"/>
      <c r="CF22" s="209"/>
      <c r="CG22" s="209"/>
      <c r="CH22" s="209"/>
      <c r="CI22" s="209"/>
      <c r="CJ22" s="209"/>
      <c r="CK22" s="209"/>
      <c r="CL22" s="209"/>
      <c r="CM22" s="209"/>
      <c r="CN22" s="209"/>
      <c r="CO22" s="209"/>
      <c r="CP22" s="209"/>
      <c r="CQ22" s="209"/>
      <c r="CR22" s="209" t="str">
        <f>"  " &amp; "시스템 개발" &amp; " " &amp; IF(P22="","",TEXT(P22,"M/D-")) &amp; IF(Q22="","",TEXT(Q22,"M/D")) &amp; " "</f>
        <v xml:space="preserve">  시스템 개발 11/20-5/15 </v>
      </c>
      <c r="CS22" s="209"/>
    </row>
    <row r="23" spans="1:97" outlineLevel="1">
      <c r="A23" s="223"/>
      <c r="B23" s="223" t="s">
        <v>1300</v>
      </c>
      <c r="C23" s="223">
        <v>2</v>
      </c>
      <c r="D23" s="237" t="s">
        <v>1381</v>
      </c>
      <c r="E23" s="224"/>
      <c r="F23" s="224" t="s">
        <v>687</v>
      </c>
      <c r="G23" s="224"/>
      <c r="H23" s="224"/>
      <c r="I23" s="224"/>
      <c r="J23" s="224"/>
      <c r="K23" s="224"/>
      <c r="L23" s="224"/>
      <c r="M23" s="224"/>
      <c r="N23" s="224"/>
      <c r="O23" s="224"/>
      <c r="P23" s="225">
        <v>43794</v>
      </c>
      <c r="Q23" s="225">
        <v>43966</v>
      </c>
      <c r="R23" s="227"/>
      <c r="S23" s="228">
        <v>120</v>
      </c>
      <c r="T23" s="228">
        <v>40</v>
      </c>
      <c r="U23" s="226">
        <v>30</v>
      </c>
      <c r="V23" s="226">
        <v>10</v>
      </c>
      <c r="W23" s="225"/>
      <c r="X23" s="225"/>
      <c r="Y23" s="229">
        <v>0</v>
      </c>
      <c r="Z23" s="230">
        <v>0</v>
      </c>
      <c r="AA23" s="231"/>
      <c r="AB23" s="227"/>
      <c r="AC23" s="232"/>
      <c r="AD23" s="233">
        <v>0.33333333333333331</v>
      </c>
      <c r="AE23" s="234">
        <v>0.59499999999999997</v>
      </c>
      <c r="AF23" s="208"/>
      <c r="AG23" s="209"/>
      <c r="AH23" s="209"/>
      <c r="AI23" s="209"/>
      <c r="AJ23" s="209"/>
      <c r="AK23" s="209"/>
      <c r="AL23" s="209"/>
      <c r="AM23" s="209"/>
      <c r="AN23" s="209"/>
      <c r="AO23" s="209"/>
      <c r="AP23" s="209"/>
      <c r="AQ23" s="209"/>
      <c r="AR23" s="209"/>
      <c r="AS23" s="209"/>
      <c r="AT23" s="209"/>
      <c r="AU23" s="209"/>
      <c r="AV23" s="209"/>
      <c r="AW23" s="209"/>
      <c r="AX23" s="209"/>
      <c r="AY23" s="209"/>
      <c r="AZ23" s="209"/>
      <c r="BA23" s="209"/>
      <c r="BB23" s="209"/>
      <c r="BC23" s="209"/>
      <c r="BD23" s="209"/>
      <c r="BE23" s="209"/>
      <c r="BF23" s="209"/>
      <c r="BG23" s="209"/>
      <c r="BH23" s="209"/>
      <c r="BI23" s="209"/>
      <c r="BJ23" s="209"/>
      <c r="BK23" s="209"/>
      <c r="BL23" s="209"/>
      <c r="BM23" s="209"/>
      <c r="BN23" s="209" t="str">
        <f>"" &amp; TEXT(AE23,"#0.00%") &amp; " " &amp; "분석" &amp; " " &amp; IF(P23="","",TEXT(P23,"M/D-")) &amp; IF(Q23="","",TEXT(Q23,"M/D")) &amp; " "</f>
        <v xml:space="preserve">59.50% 분석 11/25-5/15 </v>
      </c>
      <c r="BO23" s="209"/>
      <c r="BP23" s="209"/>
      <c r="BQ23" s="209"/>
      <c r="BR23" s="209"/>
      <c r="BS23" s="209"/>
      <c r="BT23" s="209"/>
      <c r="BU23" s="209"/>
      <c r="BV23" s="209"/>
      <c r="BW23" s="209"/>
      <c r="BX23" s="209"/>
      <c r="BY23" s="209"/>
      <c r="BZ23" s="209"/>
      <c r="CA23" s="209"/>
      <c r="CB23" s="209"/>
      <c r="CC23" s="209"/>
      <c r="CD23" s="209"/>
      <c r="CE23" s="209"/>
      <c r="CF23" s="209"/>
      <c r="CG23" s="209"/>
      <c r="CH23" s="209"/>
      <c r="CI23" s="209"/>
      <c r="CJ23" s="209"/>
      <c r="CK23" s="209"/>
      <c r="CL23" s="209"/>
      <c r="CM23" s="209"/>
      <c r="CN23" s="209"/>
      <c r="CO23" s="209"/>
      <c r="CP23" s="209"/>
      <c r="CQ23" s="209"/>
      <c r="CR23" s="209"/>
      <c r="CS23" s="209"/>
    </row>
    <row r="24" spans="1:97" outlineLevel="2">
      <c r="A24" s="223"/>
      <c r="B24" s="223"/>
      <c r="C24" s="223">
        <v>3</v>
      </c>
      <c r="D24" s="237" t="s">
        <v>1325</v>
      </c>
      <c r="E24" s="224"/>
      <c r="F24" s="224"/>
      <c r="G24" s="224" t="s">
        <v>1326</v>
      </c>
      <c r="H24" s="224"/>
      <c r="I24" s="224"/>
      <c r="J24" s="224"/>
      <c r="K24" s="224"/>
      <c r="L24" s="224"/>
      <c r="M24" s="224"/>
      <c r="N24" s="224"/>
      <c r="O24" s="224"/>
      <c r="P24" s="225">
        <v>43794</v>
      </c>
      <c r="Q24" s="225">
        <v>43871</v>
      </c>
      <c r="R24" s="227"/>
      <c r="S24" s="228">
        <v>30</v>
      </c>
      <c r="T24" s="228">
        <v>10</v>
      </c>
      <c r="U24" s="226">
        <v>30</v>
      </c>
      <c r="V24" s="226">
        <v>10</v>
      </c>
      <c r="W24" s="225">
        <v>43700</v>
      </c>
      <c r="X24" s="225">
        <v>43718</v>
      </c>
      <c r="Y24" s="229">
        <v>13</v>
      </c>
      <c r="Z24" s="230">
        <v>13</v>
      </c>
      <c r="AA24" s="231">
        <v>1</v>
      </c>
      <c r="AB24" s="255" t="s">
        <v>1434</v>
      </c>
      <c r="AC24" s="232"/>
      <c r="AD24" s="233">
        <v>0.33333333333333331</v>
      </c>
      <c r="AE24" s="234">
        <v>0.7</v>
      </c>
      <c r="AF24" s="208"/>
      <c r="AG24" s="209"/>
      <c r="AH24" s="209"/>
      <c r="AI24" s="209"/>
      <c r="AJ24" s="209"/>
      <c r="AK24" s="209"/>
      <c r="AL24" s="209"/>
      <c r="AM24" s="209"/>
      <c r="AN24" s="209"/>
      <c r="AO24" s="209"/>
      <c r="AP24" s="209"/>
      <c r="AQ24" s="209"/>
      <c r="AR24" s="209"/>
      <c r="AS24" s="209"/>
      <c r="AT24" s="209"/>
      <c r="AU24" s="209"/>
      <c r="AV24" s="209"/>
      <c r="AW24" s="209"/>
      <c r="AX24" s="209"/>
      <c r="AY24" s="209"/>
      <c r="AZ24" s="209"/>
      <c r="BA24" s="209"/>
      <c r="BB24" s="209"/>
      <c r="BC24" s="209"/>
      <c r="BD24" s="209"/>
      <c r="BE24" s="209"/>
      <c r="BF24" s="209"/>
      <c r="BG24" s="209"/>
      <c r="BH24" s="209"/>
      <c r="BI24" s="209"/>
      <c r="BJ24" s="209"/>
      <c r="BK24" s="209"/>
      <c r="BL24" s="209"/>
      <c r="BM24" s="209"/>
      <c r="BN24" s="209" t="str">
        <f>"    " &amp; TEXT(AE24,"#0.00%") &amp; " " &amp; "요구사항정의" &amp; "(김지영)" &amp; " " &amp; IF(P24="","",TEXT(P24,"M/D-")) &amp; IF(Q24="","",TEXT(Q24,"M/D")) &amp; " "</f>
        <v xml:space="preserve">    70.00% 요구사항정의(김지영) 11/25-2/10 </v>
      </c>
      <c r="BO24" s="209"/>
      <c r="BP24" s="209"/>
      <c r="BQ24" s="209"/>
      <c r="BR24" s="209"/>
      <c r="BS24" s="209"/>
      <c r="BT24" s="209"/>
      <c r="BU24" s="209"/>
      <c r="BV24" s="209"/>
      <c r="BW24" s="209"/>
      <c r="BX24" s="209"/>
      <c r="BY24" s="209"/>
      <c r="BZ24" s="209"/>
      <c r="CA24" s="209"/>
      <c r="CB24" s="209"/>
      <c r="CC24" s="209"/>
      <c r="CD24" s="209"/>
      <c r="CE24" s="209"/>
      <c r="CF24" s="209"/>
      <c r="CG24" s="209"/>
      <c r="CH24" s="209"/>
      <c r="CI24" s="209"/>
      <c r="CJ24" s="209"/>
      <c r="CK24" s="209"/>
      <c r="CL24" s="209"/>
      <c r="CM24" s="209"/>
      <c r="CN24" s="209"/>
      <c r="CO24" s="209"/>
      <c r="CP24" s="209"/>
      <c r="CQ24" s="209"/>
      <c r="CR24" s="209"/>
      <c r="CS24" s="209"/>
    </row>
    <row r="25" spans="1:97" outlineLevel="2">
      <c r="A25" s="223"/>
      <c r="B25" s="223" t="s">
        <v>1300</v>
      </c>
      <c r="C25" s="223">
        <v>3</v>
      </c>
      <c r="D25" s="237" t="s">
        <v>1327</v>
      </c>
      <c r="E25" s="224"/>
      <c r="F25" s="224"/>
      <c r="G25" s="224" t="s">
        <v>1328</v>
      </c>
      <c r="H25" s="224"/>
      <c r="I25" s="224"/>
      <c r="J25" s="224"/>
      <c r="K25" s="224"/>
      <c r="L25" s="224"/>
      <c r="M25" s="224"/>
      <c r="N25" s="224"/>
      <c r="O25" s="224"/>
      <c r="P25" s="225">
        <v>43871</v>
      </c>
      <c r="Q25" s="225">
        <v>43966</v>
      </c>
      <c r="R25" s="227"/>
      <c r="S25" s="228">
        <v>90</v>
      </c>
      <c r="T25" s="228">
        <v>30</v>
      </c>
      <c r="U25" s="226">
        <v>30</v>
      </c>
      <c r="V25" s="226">
        <v>10</v>
      </c>
      <c r="W25" s="225"/>
      <c r="X25" s="225"/>
      <c r="Y25" s="229">
        <v>0</v>
      </c>
      <c r="Z25" s="230">
        <v>0</v>
      </c>
      <c r="AA25" s="231"/>
      <c r="AB25" s="227"/>
      <c r="AC25" s="232"/>
      <c r="AD25" s="233">
        <v>0.33333333333333331</v>
      </c>
      <c r="AE25" s="234">
        <v>0.55999999999999994</v>
      </c>
      <c r="AF25" s="208"/>
      <c r="AG25" s="209"/>
      <c r="AH25" s="209"/>
      <c r="AI25" s="209"/>
      <c r="AJ25" s="209"/>
      <c r="AK25" s="209"/>
      <c r="AL25" s="209"/>
      <c r="AM25" s="209"/>
      <c r="AN25" s="209"/>
      <c r="AO25" s="209"/>
      <c r="AP25" s="209"/>
      <c r="AQ25" s="209"/>
      <c r="AR25" s="209"/>
      <c r="AS25" s="209"/>
      <c r="AT25" s="209"/>
      <c r="AU25" s="209"/>
      <c r="AV25" s="209"/>
      <c r="AW25" s="209"/>
      <c r="AX25" s="209"/>
      <c r="AY25" s="209"/>
      <c r="AZ25" s="209"/>
      <c r="BA25" s="209"/>
      <c r="BB25" s="209"/>
      <c r="BC25" s="209"/>
      <c r="BD25" s="209"/>
      <c r="BE25" s="209"/>
      <c r="BF25" s="209"/>
      <c r="BG25" s="209"/>
      <c r="BH25" s="209"/>
      <c r="BI25" s="209"/>
      <c r="BJ25" s="209"/>
      <c r="BK25" s="209"/>
      <c r="BL25" s="209"/>
      <c r="BM25" s="209" t="str">
        <f>"     " &amp; TEXT(AE25,"#0.00%") &amp; " " &amp; "논리모델구축" &amp; " " &amp; IF(P25="","",TEXT(P25,"M/D-")) &amp; IF(Q25="","",TEXT(Q25,"M/D")) &amp; " "</f>
        <v xml:space="preserve">     56.00% 논리모델구축 2/10-5/15 </v>
      </c>
      <c r="BN25" s="209"/>
      <c r="BO25" s="209"/>
      <c r="BP25" s="209"/>
      <c r="BQ25" s="209"/>
      <c r="BR25" s="209"/>
      <c r="BS25" s="209"/>
      <c r="BT25" s="209"/>
      <c r="BU25" s="209"/>
      <c r="BV25" s="209"/>
      <c r="BW25" s="209"/>
      <c r="BX25" s="209"/>
      <c r="BY25" s="209"/>
      <c r="BZ25" s="209"/>
      <c r="CA25" s="209"/>
      <c r="CB25" s="209"/>
      <c r="CC25" s="209"/>
      <c r="CD25" s="209"/>
      <c r="CE25" s="209"/>
      <c r="CF25" s="209"/>
      <c r="CG25" s="209"/>
      <c r="CH25" s="209"/>
      <c r="CI25" s="209"/>
      <c r="CJ25" s="209"/>
      <c r="CK25" s="209"/>
      <c r="CL25" s="209"/>
      <c r="CM25" s="209"/>
      <c r="CN25" s="209"/>
      <c r="CO25" s="209"/>
      <c r="CP25" s="209"/>
      <c r="CQ25" s="209"/>
      <c r="CR25" s="209"/>
      <c r="CS25" s="209"/>
    </row>
    <row r="26" spans="1:97" outlineLevel="3">
      <c r="A26" s="223"/>
      <c r="B26" s="223"/>
      <c r="C26" s="223">
        <v>4</v>
      </c>
      <c r="D26" s="237" t="s">
        <v>1329</v>
      </c>
      <c r="E26" s="224"/>
      <c r="F26" s="224"/>
      <c r="G26" s="224"/>
      <c r="H26" s="224" t="s">
        <v>1330</v>
      </c>
      <c r="I26" s="224"/>
      <c r="J26" s="224"/>
      <c r="K26" s="224"/>
      <c r="L26" s="224"/>
      <c r="M26" s="224"/>
      <c r="N26" s="224"/>
      <c r="O26" s="224"/>
      <c r="P26" s="225">
        <v>43891</v>
      </c>
      <c r="Q26" s="225">
        <v>43910</v>
      </c>
      <c r="R26" s="227"/>
      <c r="S26" s="228">
        <v>30</v>
      </c>
      <c r="T26" s="228">
        <v>10</v>
      </c>
      <c r="U26" s="226">
        <v>30</v>
      </c>
      <c r="V26" s="226">
        <v>10</v>
      </c>
      <c r="W26" s="225">
        <v>43710</v>
      </c>
      <c r="X26" s="225">
        <v>43733</v>
      </c>
      <c r="Y26" s="229">
        <v>16</v>
      </c>
      <c r="Z26" s="230">
        <v>16</v>
      </c>
      <c r="AA26" s="231">
        <v>1</v>
      </c>
      <c r="AB26" s="255" t="s">
        <v>1436</v>
      </c>
      <c r="AC26" s="232"/>
      <c r="AD26" s="233">
        <v>0.33333333333333331</v>
      </c>
      <c r="AE26" s="234">
        <v>0.68</v>
      </c>
      <c r="AF26" s="208"/>
      <c r="AG26" s="209"/>
      <c r="AH26" s="209"/>
      <c r="AI26" s="209"/>
      <c r="AJ26" s="209"/>
      <c r="AK26" s="209"/>
      <c r="AL26" s="209"/>
      <c r="AM26" s="209"/>
      <c r="AN26" s="209"/>
      <c r="AO26" s="209"/>
      <c r="AP26" s="209"/>
      <c r="AQ26" s="209"/>
      <c r="AR26" s="209"/>
      <c r="AS26" s="209"/>
      <c r="AT26" s="209"/>
      <c r="AU26" s="209"/>
      <c r="AV26" s="209"/>
      <c r="AW26" s="209"/>
      <c r="AX26" s="209"/>
      <c r="AY26" s="209"/>
      <c r="AZ26" s="209"/>
      <c r="BA26" s="209"/>
      <c r="BB26" s="209"/>
      <c r="BC26" s="209"/>
      <c r="BD26" s="209"/>
      <c r="BE26" s="209"/>
      <c r="BF26" s="209"/>
      <c r="BG26" s="209"/>
      <c r="BH26" s="209"/>
      <c r="BI26" s="209"/>
      <c r="BJ26" s="209"/>
      <c r="BK26" s="209"/>
      <c r="BL26" s="209"/>
      <c r="BM26" s="209"/>
      <c r="BN26" s="209" t="str">
        <f>"    " &amp; TEXT(AE26,"#0.00%") &amp; " " &amp; "프로세스모델링" &amp; "(최민준)" &amp; " " &amp; IF(P26="","",TEXT(P26,"M/D-")) &amp; IF(Q26="","",TEXT(Q26,"M/D")) &amp; " "</f>
        <v xml:space="preserve">    68.00% 프로세스모델링(최민준) 3/1-3/20 </v>
      </c>
      <c r="BO26" s="209"/>
      <c r="BP26" s="209"/>
      <c r="BQ26" s="209"/>
      <c r="BR26" s="209"/>
      <c r="BS26" s="209"/>
      <c r="BT26" s="209"/>
      <c r="BU26" s="209"/>
      <c r="BV26" s="209"/>
      <c r="BW26" s="209"/>
      <c r="BX26" s="209"/>
      <c r="BY26" s="209"/>
      <c r="BZ26" s="209"/>
      <c r="CA26" s="209"/>
      <c r="CB26" s="209"/>
      <c r="CC26" s="209"/>
      <c r="CD26" s="209"/>
      <c r="CE26" s="209"/>
      <c r="CF26" s="209"/>
      <c r="CG26" s="209"/>
      <c r="CH26" s="209"/>
      <c r="CI26" s="209"/>
      <c r="CJ26" s="209"/>
      <c r="CK26" s="209"/>
      <c r="CL26" s="209"/>
      <c r="CM26" s="209"/>
      <c r="CN26" s="209"/>
      <c r="CO26" s="209"/>
      <c r="CP26" s="209"/>
      <c r="CQ26" s="209"/>
      <c r="CR26" s="209"/>
      <c r="CS26" s="209"/>
    </row>
    <row r="27" spans="1:97" outlineLevel="3">
      <c r="A27" s="223"/>
      <c r="B27" s="223"/>
      <c r="C27" s="223">
        <v>4</v>
      </c>
      <c r="D27" s="237" t="s">
        <v>1331</v>
      </c>
      <c r="E27" s="224"/>
      <c r="F27" s="224"/>
      <c r="G27" s="224"/>
      <c r="H27" s="224" t="s">
        <v>1332</v>
      </c>
      <c r="I27" s="224"/>
      <c r="J27" s="224"/>
      <c r="K27" s="224"/>
      <c r="L27" s="224"/>
      <c r="M27" s="224"/>
      <c r="N27" s="224"/>
      <c r="O27" s="224"/>
      <c r="P27" s="225">
        <v>43910</v>
      </c>
      <c r="Q27" s="225">
        <v>43941</v>
      </c>
      <c r="R27" s="227"/>
      <c r="S27" s="228">
        <v>30</v>
      </c>
      <c r="T27" s="228">
        <v>10</v>
      </c>
      <c r="U27" s="226">
        <v>30</v>
      </c>
      <c r="V27" s="226">
        <v>10</v>
      </c>
      <c r="W27" s="225">
        <v>43706</v>
      </c>
      <c r="X27" s="225"/>
      <c r="Y27" s="229">
        <v>-31211</v>
      </c>
      <c r="Z27" s="230">
        <v>0</v>
      </c>
      <c r="AA27" s="231">
        <v>1</v>
      </c>
      <c r="AB27" s="239" t="s">
        <v>1407</v>
      </c>
      <c r="AC27" s="232"/>
      <c r="AD27" s="233">
        <v>0.33333333333333331</v>
      </c>
      <c r="AE27" s="234">
        <v>0.45</v>
      </c>
      <c r="AF27" s="208"/>
      <c r="AG27" s="209"/>
      <c r="AH27" s="209"/>
      <c r="AI27" s="209"/>
      <c r="AJ27" s="209"/>
      <c r="AK27" s="209"/>
      <c r="AL27" s="209"/>
      <c r="AM27" s="209"/>
      <c r="AN27" s="209"/>
      <c r="AO27" s="209"/>
      <c r="AP27" s="209"/>
      <c r="AQ27" s="209"/>
      <c r="AR27" s="209"/>
      <c r="AS27" s="209"/>
      <c r="AT27" s="209"/>
      <c r="AU27" s="209"/>
      <c r="AV27" s="209"/>
      <c r="AW27" s="209"/>
      <c r="AX27" s="209"/>
      <c r="AY27" s="209"/>
      <c r="AZ27" s="209"/>
      <c r="BA27" s="209"/>
      <c r="BB27" s="209"/>
      <c r="BC27" s="209"/>
      <c r="BD27" s="209"/>
      <c r="BE27" s="209"/>
      <c r="BF27" s="209"/>
      <c r="BG27" s="209"/>
      <c r="BH27" s="209"/>
      <c r="BI27" s="209"/>
      <c r="BJ27" s="209"/>
      <c r="BK27" s="209"/>
      <c r="BL27" s="209"/>
      <c r="BM27" s="209" t="str">
        <f>"" &amp; TEXT(AE27,"#0.00%") &amp; " "</f>
        <v xml:space="preserve">45.00% </v>
      </c>
      <c r="BN27" s="209"/>
      <c r="BO27" s="209"/>
      <c r="BP27" s="209" t="str">
        <f>"    " &amp; "데이터모델링" &amp; "(김도은)" &amp; " " &amp; IF(P27="","",TEXT(P27,"M/D-")) &amp; IF(Q27="","",TEXT(Q27,"M/D")) &amp; " "</f>
        <v xml:space="preserve">    데이터모델링(김도은) 3/20-4/20 </v>
      </c>
      <c r="BQ27" s="209"/>
      <c r="BR27" s="209"/>
      <c r="BS27" s="209"/>
      <c r="BT27" s="209"/>
      <c r="BU27" s="209"/>
      <c r="BV27" s="209"/>
      <c r="BW27" s="209"/>
      <c r="BX27" s="209"/>
      <c r="BY27" s="209"/>
      <c r="BZ27" s="209"/>
      <c r="CA27" s="209"/>
      <c r="CB27" s="209"/>
      <c r="CC27" s="209"/>
      <c r="CD27" s="209"/>
      <c r="CE27" s="209"/>
      <c r="CF27" s="209"/>
      <c r="CG27" s="209"/>
      <c r="CH27" s="209"/>
      <c r="CI27" s="209"/>
      <c r="CJ27" s="209"/>
      <c r="CK27" s="209"/>
      <c r="CL27" s="209"/>
      <c r="CM27" s="209"/>
      <c r="CN27" s="209"/>
      <c r="CO27" s="209"/>
      <c r="CP27" s="209"/>
      <c r="CQ27" s="209"/>
      <c r="CR27" s="209"/>
      <c r="CS27" s="209"/>
    </row>
    <row r="28" spans="1:97" ht="13.2" outlineLevel="3">
      <c r="A28" s="223"/>
      <c r="B28" s="223"/>
      <c r="C28" s="223">
        <v>4</v>
      </c>
      <c r="D28" s="237" t="s">
        <v>1432</v>
      </c>
      <c r="E28" s="224"/>
      <c r="F28" s="224"/>
      <c r="G28" s="224"/>
      <c r="H28" s="254" t="s">
        <v>1431</v>
      </c>
      <c r="I28" s="224"/>
      <c r="J28" s="224"/>
      <c r="K28" s="224"/>
      <c r="L28" s="224"/>
      <c r="M28" s="224"/>
      <c r="N28" s="224"/>
      <c r="O28" s="224"/>
      <c r="P28" s="225">
        <v>43927</v>
      </c>
      <c r="Q28" s="225">
        <v>43971</v>
      </c>
      <c r="R28" s="227"/>
      <c r="S28" s="228">
        <v>30</v>
      </c>
      <c r="T28" s="228">
        <v>10</v>
      </c>
      <c r="U28" s="226">
        <v>30</v>
      </c>
      <c r="V28" s="226">
        <v>10</v>
      </c>
      <c r="W28" s="225"/>
      <c r="X28" s="225"/>
      <c r="Y28" s="229"/>
      <c r="Z28" s="230">
        <v>0</v>
      </c>
      <c r="AA28" s="231">
        <v>1</v>
      </c>
      <c r="AB28" s="256" t="s">
        <v>1412</v>
      </c>
      <c r="AC28" s="232"/>
      <c r="AD28" s="233">
        <v>0.33333333333333331</v>
      </c>
      <c r="AE28" s="234">
        <v>0.55000000000000004</v>
      </c>
      <c r="AF28" s="208"/>
      <c r="AG28" s="209"/>
      <c r="AH28" s="209"/>
      <c r="AI28" s="209"/>
      <c r="AJ28" s="209"/>
      <c r="AK28" s="209"/>
      <c r="AL28" s="209"/>
      <c r="AM28" s="209"/>
      <c r="AN28" s="209"/>
      <c r="AO28" s="209"/>
      <c r="AP28" s="209"/>
      <c r="AQ28" s="209"/>
      <c r="AR28" s="209"/>
      <c r="AS28" s="209"/>
      <c r="AT28" s="209"/>
      <c r="AU28" s="209"/>
      <c r="AV28" s="209"/>
      <c r="AW28" s="209"/>
      <c r="AX28" s="209"/>
      <c r="AY28" s="209"/>
      <c r="AZ28" s="209"/>
      <c r="BA28" s="209"/>
      <c r="BB28" s="209"/>
      <c r="BC28" s="209"/>
      <c r="BD28" s="209"/>
      <c r="BE28" s="209"/>
      <c r="BF28" s="209"/>
      <c r="BG28" s="209"/>
      <c r="BH28" s="209"/>
      <c r="BI28" s="209"/>
      <c r="BJ28" s="209"/>
      <c r="BK28" s="209"/>
      <c r="BL28" s="209"/>
      <c r="BM28" s="209" t="str">
        <f>"     " &amp; TEXT(AE28,"#0.00%") &amp; " " &amp; "데이터학습" &amp; "(김동환,최민준)" &amp; " " &amp; IF(P28="","",TEXT(P28,"M/D-")) &amp; IF(Q28="","",TEXT(Q28,"M/D")) &amp; " "</f>
        <v xml:space="preserve">     55.00% 데이터학습(김동환,최민준) 4/6-5/20 </v>
      </c>
      <c r="BN28" s="209"/>
      <c r="BO28" s="209"/>
      <c r="BP28" s="209"/>
      <c r="BQ28" s="209"/>
      <c r="BR28" s="209"/>
      <c r="BS28" s="209"/>
      <c r="BT28" s="209"/>
      <c r="BU28" s="209"/>
      <c r="BV28" s="209"/>
      <c r="BW28" s="209"/>
      <c r="BX28" s="209"/>
      <c r="BY28" s="209"/>
      <c r="BZ28" s="209"/>
      <c r="CA28" s="209"/>
      <c r="CB28" s="209"/>
      <c r="CC28" s="209"/>
      <c r="CD28" s="209"/>
      <c r="CE28" s="209"/>
      <c r="CF28" s="209"/>
      <c r="CG28" s="209"/>
      <c r="CH28" s="209"/>
      <c r="CI28" s="209"/>
      <c r="CJ28" s="209"/>
      <c r="CK28" s="209"/>
      <c r="CL28" s="209"/>
      <c r="CM28" s="209"/>
      <c r="CN28" s="209"/>
      <c r="CO28" s="209"/>
      <c r="CP28" s="209"/>
      <c r="CQ28" s="209"/>
      <c r="CR28" s="209"/>
      <c r="CS28" s="209"/>
    </row>
    <row r="29" spans="1:97" outlineLevel="1">
      <c r="A29" s="223"/>
      <c r="B29" s="223" t="s">
        <v>1300</v>
      </c>
      <c r="C29" s="223">
        <v>2</v>
      </c>
      <c r="D29" s="237" t="s">
        <v>1382</v>
      </c>
      <c r="E29" s="224"/>
      <c r="F29" s="224" t="s">
        <v>1011</v>
      </c>
      <c r="G29" s="224"/>
      <c r="H29" s="224"/>
      <c r="I29" s="224"/>
      <c r="J29" s="224"/>
      <c r="K29" s="224"/>
      <c r="L29" s="224"/>
      <c r="M29" s="224"/>
      <c r="N29" s="224"/>
      <c r="O29" s="224"/>
      <c r="P29" s="225">
        <v>43871</v>
      </c>
      <c r="Q29" s="225">
        <v>43915</v>
      </c>
      <c r="R29" s="227"/>
      <c r="S29" s="228">
        <v>150</v>
      </c>
      <c r="T29" s="228">
        <v>50</v>
      </c>
      <c r="U29" s="226">
        <v>30</v>
      </c>
      <c r="V29" s="226">
        <v>10</v>
      </c>
      <c r="W29" s="225"/>
      <c r="X29" s="225"/>
      <c r="Y29" s="229">
        <v>0</v>
      </c>
      <c r="Z29" s="230">
        <v>0</v>
      </c>
      <c r="AA29" s="231"/>
      <c r="AB29" s="255"/>
      <c r="AC29" s="232"/>
      <c r="AD29" s="233">
        <v>0.33333333333333331</v>
      </c>
      <c r="AE29" s="234">
        <v>0.65</v>
      </c>
      <c r="AF29" s="208"/>
      <c r="AG29" s="209"/>
      <c r="AH29" s="209"/>
      <c r="AI29" s="209"/>
      <c r="AJ29" s="209"/>
      <c r="AK29" s="209"/>
      <c r="AL29" s="209"/>
      <c r="AM29" s="209"/>
      <c r="AN29" s="209"/>
      <c r="AO29" s="209"/>
      <c r="AP29" s="209"/>
      <c r="AQ29" s="209"/>
      <c r="AR29" s="209"/>
      <c r="AS29" s="209"/>
      <c r="AT29" s="209"/>
      <c r="AU29" s="209"/>
      <c r="AV29" s="209"/>
      <c r="AW29" s="209"/>
      <c r="AX29" s="209"/>
      <c r="AY29" s="209"/>
      <c r="AZ29" s="209"/>
      <c r="BA29" s="209"/>
      <c r="BB29" s="209"/>
      <c r="BC29" s="209"/>
      <c r="BD29" s="209"/>
      <c r="BE29" s="209"/>
      <c r="BF29" s="209"/>
      <c r="BG29" s="209"/>
      <c r="BH29" s="209"/>
      <c r="BI29" s="209"/>
      <c r="BJ29" s="209"/>
      <c r="BK29" s="209"/>
      <c r="BL29" s="209"/>
      <c r="BM29" s="209"/>
      <c r="BN29" s="209" t="str">
        <f>"  " &amp; TEXT(AE29,"#0.00%") &amp; " " &amp; "설계" &amp; " " &amp; IF(P29="","",TEXT(P29,"M/D-")) &amp; IF(Q29="","",TEXT(Q29,"M/D")) &amp; " "</f>
        <v xml:space="preserve">  65.00% 설계 2/10-3/25 </v>
      </c>
      <c r="BO29" s="209"/>
      <c r="BP29" s="209"/>
      <c r="BQ29" s="209"/>
      <c r="BR29" s="209"/>
      <c r="BS29" s="209"/>
      <c r="BT29" s="209"/>
      <c r="BU29" s="209"/>
      <c r="BV29" s="209"/>
      <c r="BW29" s="209"/>
      <c r="BX29" s="209"/>
      <c r="BY29" s="209"/>
      <c r="BZ29" s="209"/>
      <c r="CA29" s="209"/>
      <c r="CB29" s="209"/>
      <c r="CC29" s="209"/>
      <c r="CD29" s="209"/>
      <c r="CE29" s="209"/>
      <c r="CF29" s="209"/>
      <c r="CG29" s="209"/>
      <c r="CH29" s="209"/>
      <c r="CI29" s="209"/>
      <c r="CJ29" s="209"/>
      <c r="CK29" s="209"/>
      <c r="CL29" s="209"/>
      <c r="CM29" s="209"/>
      <c r="CN29" s="209"/>
      <c r="CO29" s="209"/>
      <c r="CP29" s="209"/>
      <c r="CQ29" s="209"/>
      <c r="CR29" s="209"/>
      <c r="CS29" s="209"/>
    </row>
    <row r="30" spans="1:97" outlineLevel="2">
      <c r="A30" s="223"/>
      <c r="B30" s="223"/>
      <c r="C30" s="223">
        <v>3</v>
      </c>
      <c r="D30" s="237" t="s">
        <v>1333</v>
      </c>
      <c r="E30" s="224"/>
      <c r="F30" s="224"/>
      <c r="G30" s="224" t="s">
        <v>1334</v>
      </c>
      <c r="H30" s="224"/>
      <c r="I30" s="224"/>
      <c r="J30" s="224"/>
      <c r="K30" s="224"/>
      <c r="L30" s="224"/>
      <c r="M30" s="224"/>
      <c r="N30" s="224"/>
      <c r="O30" s="224"/>
      <c r="P30" s="225">
        <v>43871</v>
      </c>
      <c r="Q30" s="225">
        <v>43900</v>
      </c>
      <c r="R30" s="227"/>
      <c r="S30" s="228">
        <v>30</v>
      </c>
      <c r="T30" s="228">
        <v>10</v>
      </c>
      <c r="U30" s="226">
        <v>30</v>
      </c>
      <c r="V30" s="226">
        <v>10</v>
      </c>
      <c r="W30" s="225"/>
      <c r="X30" s="225"/>
      <c r="Y30" s="229"/>
      <c r="Z30" s="230">
        <v>0</v>
      </c>
      <c r="AA30" s="231">
        <v>1</v>
      </c>
      <c r="AB30" s="256" t="s">
        <v>1437</v>
      </c>
      <c r="AC30" s="232"/>
      <c r="AD30" s="233">
        <v>0.33333333333333331</v>
      </c>
      <c r="AE30" s="234">
        <v>0.3</v>
      </c>
      <c r="AF30" s="208"/>
      <c r="AG30" s="209"/>
      <c r="AH30" s="209"/>
      <c r="AI30" s="209"/>
      <c r="AJ30" s="209"/>
      <c r="AK30" s="209"/>
      <c r="AL30" s="209"/>
      <c r="AM30" s="209"/>
      <c r="AN30" s="209"/>
      <c r="AO30" s="209"/>
      <c r="AP30" s="209"/>
      <c r="AQ30" s="209"/>
      <c r="AR30" s="209"/>
      <c r="AS30" s="209"/>
      <c r="AT30" s="209"/>
      <c r="AU30" s="209"/>
      <c r="AV30" s="209"/>
      <c r="AW30" s="209"/>
      <c r="AX30" s="209"/>
      <c r="AY30" s="209"/>
      <c r="AZ30" s="209"/>
      <c r="BA30" s="209"/>
      <c r="BB30" s="209"/>
      <c r="BC30" s="209"/>
      <c r="BD30" s="209"/>
      <c r="BE30" s="209"/>
      <c r="BF30" s="209"/>
      <c r="BG30" s="209"/>
      <c r="BH30" s="209"/>
      <c r="BI30" s="209"/>
      <c r="BJ30" s="209"/>
      <c r="BK30" s="209"/>
      <c r="BL30" s="209" t="str">
        <f>"" &amp; TEXT(AE30,"#0.00%") &amp; " "</f>
        <v xml:space="preserve">30.00% </v>
      </c>
      <c r="BM30" s="209"/>
      <c r="BN30" s="209"/>
      <c r="BO30" s="209"/>
      <c r="BP30" s="209" t="str">
        <f>"    " &amp; "UI 설계" &amp; "(김민석,김지영)" &amp; " " &amp; IF(P30="","",TEXT(P30,"M/D-")) &amp; IF(Q30="","",TEXT(Q30,"M/D")) &amp; " "</f>
        <v xml:space="preserve">    UI 설계(김민석,김지영) 2/10-3/10 </v>
      </c>
      <c r="BQ30" s="209"/>
      <c r="BR30" s="209"/>
      <c r="BS30" s="209"/>
      <c r="BT30" s="209"/>
      <c r="BU30" s="209"/>
      <c r="BV30" s="209"/>
      <c r="BW30" s="209"/>
      <c r="BX30" s="209"/>
      <c r="BY30" s="209"/>
      <c r="BZ30" s="209"/>
      <c r="CA30" s="209"/>
      <c r="CB30" s="209"/>
      <c r="CC30" s="209"/>
      <c r="CD30" s="209"/>
      <c r="CE30" s="209"/>
      <c r="CF30" s="209"/>
      <c r="CG30" s="209"/>
      <c r="CH30" s="209"/>
      <c r="CI30" s="209"/>
      <c r="CJ30" s="209"/>
      <c r="CK30" s="209"/>
      <c r="CL30" s="209"/>
      <c r="CM30" s="209"/>
      <c r="CN30" s="209"/>
      <c r="CO30" s="209"/>
      <c r="CP30" s="209"/>
      <c r="CQ30" s="209"/>
      <c r="CR30" s="209"/>
      <c r="CS30" s="209"/>
    </row>
    <row r="31" spans="1:97" outlineLevel="2">
      <c r="A31" s="223"/>
      <c r="B31" s="223" t="s">
        <v>1300</v>
      </c>
      <c r="C31" s="223">
        <v>3</v>
      </c>
      <c r="D31" s="237" t="s">
        <v>1335</v>
      </c>
      <c r="E31" s="224"/>
      <c r="F31" s="224"/>
      <c r="G31" s="224" t="s">
        <v>1336</v>
      </c>
      <c r="H31" s="224"/>
      <c r="I31" s="224"/>
      <c r="J31" s="224"/>
      <c r="K31" s="224"/>
      <c r="L31" s="224"/>
      <c r="M31" s="224"/>
      <c r="N31" s="224"/>
      <c r="O31" s="224"/>
      <c r="P31" s="225">
        <v>43871</v>
      </c>
      <c r="Q31" s="225">
        <v>43915</v>
      </c>
      <c r="R31" s="227"/>
      <c r="S31" s="228">
        <v>120</v>
      </c>
      <c r="T31" s="228">
        <v>40</v>
      </c>
      <c r="U31" s="226">
        <v>30</v>
      </c>
      <c r="V31" s="226">
        <v>10</v>
      </c>
      <c r="W31" s="225"/>
      <c r="X31" s="225"/>
      <c r="Y31" s="229">
        <v>0</v>
      </c>
      <c r="Z31" s="230">
        <v>0</v>
      </c>
      <c r="AA31" s="231"/>
      <c r="AB31" s="239"/>
      <c r="AC31" s="232"/>
      <c r="AD31" s="233">
        <v>0.33333333333333331</v>
      </c>
      <c r="AE31" s="234">
        <v>0.73750000000000004</v>
      </c>
      <c r="AF31" s="208"/>
      <c r="AG31" s="209"/>
      <c r="AH31" s="209"/>
      <c r="AI31" s="209"/>
      <c r="AJ31" s="209"/>
      <c r="AK31" s="209"/>
      <c r="AL31" s="209"/>
      <c r="AM31" s="209"/>
      <c r="AN31" s="209"/>
      <c r="AO31" s="209"/>
      <c r="AP31" s="209"/>
      <c r="AQ31" s="209"/>
      <c r="AR31" s="209"/>
      <c r="AS31" s="209"/>
      <c r="AT31" s="209"/>
      <c r="AU31" s="209"/>
      <c r="AV31" s="209"/>
      <c r="AW31" s="209"/>
      <c r="AX31" s="209"/>
      <c r="AY31" s="209"/>
      <c r="AZ31" s="209"/>
      <c r="BA31" s="209"/>
      <c r="BB31" s="209"/>
      <c r="BC31" s="209"/>
      <c r="BD31" s="209"/>
      <c r="BE31" s="209"/>
      <c r="BF31" s="209"/>
      <c r="BG31" s="209"/>
      <c r="BH31" s="209"/>
      <c r="BI31" s="209"/>
      <c r="BJ31" s="209"/>
      <c r="BK31" s="209"/>
      <c r="BL31" s="209"/>
      <c r="BM31" s="209"/>
      <c r="BN31" s="209" t="str">
        <f>"      " &amp; TEXT(AE31,"#0.00%") &amp; " " &amp; "시스템 설계" &amp; " " &amp; IF(P31="","",TEXT(P31,"M/D-")) &amp; IF(Q31="","",TEXT(Q31,"M/D")) &amp; " "</f>
        <v xml:space="preserve">      73.75% 시스템 설계 2/10-3/25 </v>
      </c>
      <c r="BO31" s="209"/>
      <c r="BP31" s="209"/>
      <c r="BQ31" s="209"/>
      <c r="BR31" s="209"/>
      <c r="BS31" s="209"/>
      <c r="BT31" s="209"/>
      <c r="BU31" s="209"/>
      <c r="BV31" s="209"/>
      <c r="BW31" s="209"/>
      <c r="BX31" s="209"/>
      <c r="BY31" s="209"/>
      <c r="BZ31" s="209"/>
      <c r="CA31" s="209"/>
      <c r="CB31" s="209"/>
      <c r="CC31" s="209"/>
      <c r="CD31" s="209"/>
      <c r="CE31" s="209"/>
      <c r="CF31" s="209"/>
      <c r="CG31" s="209"/>
      <c r="CH31" s="209"/>
      <c r="CI31" s="209"/>
      <c r="CJ31" s="209"/>
      <c r="CK31" s="209"/>
      <c r="CL31" s="209"/>
      <c r="CM31" s="209"/>
      <c r="CN31" s="209"/>
      <c r="CO31" s="209"/>
      <c r="CP31" s="209"/>
      <c r="CQ31" s="209"/>
      <c r="CR31" s="209"/>
      <c r="CS31" s="209"/>
    </row>
    <row r="32" spans="1:97" outlineLevel="3">
      <c r="A32" s="223"/>
      <c r="B32" s="223"/>
      <c r="C32" s="223">
        <v>4</v>
      </c>
      <c r="D32" s="237" t="s">
        <v>1337</v>
      </c>
      <c r="E32" s="224"/>
      <c r="F32" s="224"/>
      <c r="G32" s="224"/>
      <c r="H32" s="240" t="s">
        <v>1410</v>
      </c>
      <c r="I32" s="224"/>
      <c r="J32" s="224"/>
      <c r="K32" s="224"/>
      <c r="L32" s="224"/>
      <c r="M32" s="224"/>
      <c r="N32" s="224"/>
      <c r="O32" s="224"/>
      <c r="P32" s="225">
        <v>43900</v>
      </c>
      <c r="Q32" s="225">
        <v>43915</v>
      </c>
      <c r="R32" s="227"/>
      <c r="S32" s="228">
        <v>30</v>
      </c>
      <c r="T32" s="228">
        <v>10</v>
      </c>
      <c r="U32" s="226">
        <v>30</v>
      </c>
      <c r="V32" s="226">
        <v>10</v>
      </c>
      <c r="W32" s="225"/>
      <c r="X32" s="225"/>
      <c r="Y32" s="229"/>
      <c r="Z32" s="230">
        <v>0</v>
      </c>
      <c r="AA32" s="231">
        <v>1</v>
      </c>
      <c r="AB32" s="239" t="s">
        <v>1441</v>
      </c>
      <c r="AC32" s="232"/>
      <c r="AD32" s="233">
        <v>0.33333333333333331</v>
      </c>
      <c r="AE32" s="234">
        <v>0.7</v>
      </c>
      <c r="AF32" s="208"/>
      <c r="AG32" s="209"/>
      <c r="AH32" s="209"/>
      <c r="AI32" s="209"/>
      <c r="AJ32" s="209"/>
      <c r="AK32" s="209"/>
      <c r="AL32" s="209"/>
      <c r="AM32" s="209"/>
      <c r="AN32" s="209"/>
      <c r="AO32" s="209"/>
      <c r="AP32" s="209"/>
      <c r="AQ32" s="209"/>
      <c r="AR32" s="209"/>
      <c r="AS32" s="209"/>
      <c r="AT32" s="209"/>
      <c r="AU32" s="209"/>
      <c r="AV32" s="209"/>
      <c r="AW32" s="209"/>
      <c r="AX32" s="209"/>
      <c r="AY32" s="209"/>
      <c r="AZ32" s="209"/>
      <c r="BA32" s="209"/>
      <c r="BB32" s="209"/>
      <c r="BC32" s="209"/>
      <c r="BD32" s="209"/>
      <c r="BE32" s="209"/>
      <c r="BF32" s="209"/>
      <c r="BG32" s="209"/>
      <c r="BH32" s="209"/>
      <c r="BI32" s="209"/>
      <c r="BJ32" s="209"/>
      <c r="BK32" s="209"/>
      <c r="BL32" s="209"/>
      <c r="BM32" s="209"/>
      <c r="BN32" s="209" t="str">
        <f>"    " &amp; TEXT(AE32,"#0.00%") &amp; " " &amp; "웹서버설계" &amp; "(김도은, 김민석)" &amp; " " &amp; IF(P32="","",TEXT(P32,"M/D-")) &amp; IF(Q32="","",TEXT(Q32,"M/D")) &amp; " "</f>
        <v xml:space="preserve">    70.00% 웹서버설계(김도은, 김민석) 3/10-3/25 </v>
      </c>
      <c r="BO32" s="209"/>
      <c r="BP32" s="209"/>
      <c r="BQ32" s="209"/>
      <c r="BR32" s="209"/>
      <c r="BS32" s="209"/>
      <c r="BT32" s="209"/>
      <c r="BU32" s="209"/>
      <c r="BV32" s="209"/>
      <c r="BW32" s="209"/>
      <c r="BX32" s="209"/>
      <c r="BY32" s="209"/>
      <c r="BZ32" s="209"/>
      <c r="CA32" s="209"/>
      <c r="CB32" s="209"/>
      <c r="CC32" s="209"/>
      <c r="CD32" s="209"/>
      <c r="CE32" s="209"/>
      <c r="CF32" s="209"/>
      <c r="CG32" s="209"/>
      <c r="CH32" s="209"/>
      <c r="CI32" s="209"/>
      <c r="CJ32" s="209"/>
      <c r="CK32" s="209"/>
      <c r="CL32" s="209"/>
      <c r="CM32" s="209"/>
      <c r="CN32" s="209"/>
      <c r="CO32" s="209"/>
      <c r="CP32" s="209"/>
      <c r="CQ32" s="209"/>
      <c r="CR32" s="209"/>
      <c r="CS32" s="209"/>
    </row>
    <row r="33" spans="1:97" outlineLevel="3">
      <c r="A33" s="223"/>
      <c r="B33" s="223"/>
      <c r="C33" s="223">
        <v>4</v>
      </c>
      <c r="D33" s="237" t="s">
        <v>1339</v>
      </c>
      <c r="E33" s="224"/>
      <c r="F33" s="224"/>
      <c r="G33" s="224"/>
      <c r="H33" s="224" t="s">
        <v>1340</v>
      </c>
      <c r="I33" s="224"/>
      <c r="J33" s="224"/>
      <c r="K33" s="224"/>
      <c r="L33" s="224"/>
      <c r="M33" s="224"/>
      <c r="N33" s="224"/>
      <c r="O33" s="224"/>
      <c r="P33" s="225">
        <v>43900</v>
      </c>
      <c r="Q33" s="225">
        <v>43900</v>
      </c>
      <c r="R33" s="227"/>
      <c r="S33" s="228">
        <v>30</v>
      </c>
      <c r="T33" s="228">
        <v>10</v>
      </c>
      <c r="U33" s="226">
        <v>30</v>
      </c>
      <c r="V33" s="226">
        <v>10</v>
      </c>
      <c r="W33" s="225"/>
      <c r="X33" s="225"/>
      <c r="Y33" s="229"/>
      <c r="Z33" s="230">
        <v>0</v>
      </c>
      <c r="AA33" s="231">
        <v>1</v>
      </c>
      <c r="AB33" s="239" t="s">
        <v>1433</v>
      </c>
      <c r="AC33" s="232"/>
      <c r="AD33" s="233">
        <v>0.33333333333333331</v>
      </c>
      <c r="AE33" s="234">
        <v>0.8</v>
      </c>
      <c r="AF33" s="208"/>
      <c r="AG33" s="209"/>
      <c r="AH33" s="209"/>
      <c r="AI33" s="209"/>
      <c r="AJ33" s="209"/>
      <c r="AK33" s="209"/>
      <c r="AL33" s="209"/>
      <c r="AM33" s="209"/>
      <c r="AN33" s="209"/>
      <c r="AO33" s="209"/>
      <c r="AP33" s="209"/>
      <c r="AQ33" s="209"/>
      <c r="AR33" s="209"/>
      <c r="AS33" s="209"/>
      <c r="AT33" s="209"/>
      <c r="AU33" s="209"/>
      <c r="AV33" s="209"/>
      <c r="AW33" s="209"/>
      <c r="AX33" s="209"/>
      <c r="AY33" s="209"/>
      <c r="AZ33" s="209"/>
      <c r="BA33" s="209"/>
      <c r="BB33" s="209"/>
      <c r="BC33" s="209"/>
      <c r="BD33" s="209"/>
      <c r="BE33" s="209"/>
      <c r="BF33" s="209"/>
      <c r="BG33" s="209"/>
      <c r="BH33" s="209"/>
      <c r="BI33" s="209"/>
      <c r="BJ33" s="209"/>
      <c r="BK33" s="209"/>
      <c r="BL33" s="209"/>
      <c r="BM33" s="209"/>
      <c r="BN33" s="209"/>
      <c r="BO33" s="209" t="str">
        <f>"  " &amp; TEXT(AE33,"#0.00%") &amp; " " &amp; "데이터베이스설계" &amp; "(김도은,오지우)" &amp; " " &amp; IF(P33="","",TEXT(P33,"M/D-")) &amp; IF(Q33="","",TEXT(Q33,"M/D")) &amp; " "</f>
        <v xml:space="preserve">  80.00% 데이터베이스설계(김도은,오지우) 3/10-3/10 </v>
      </c>
      <c r="BP33" s="209"/>
      <c r="BQ33" s="209"/>
      <c r="BR33" s="209"/>
      <c r="BS33" s="209"/>
      <c r="BT33" s="209"/>
      <c r="BU33" s="209"/>
      <c r="BV33" s="209"/>
      <c r="BW33" s="209"/>
      <c r="BX33" s="209"/>
      <c r="BY33" s="209"/>
      <c r="BZ33" s="209"/>
      <c r="CA33" s="209"/>
      <c r="CB33" s="209"/>
      <c r="CC33" s="209"/>
      <c r="CD33" s="209"/>
      <c r="CE33" s="209"/>
      <c r="CF33" s="209"/>
      <c r="CG33" s="209"/>
      <c r="CH33" s="209"/>
      <c r="CI33" s="209"/>
      <c r="CJ33" s="209"/>
      <c r="CK33" s="209"/>
      <c r="CL33" s="209"/>
      <c r="CM33" s="209"/>
      <c r="CN33" s="209"/>
      <c r="CO33" s="209"/>
      <c r="CP33" s="209"/>
      <c r="CQ33" s="209"/>
      <c r="CR33" s="209"/>
      <c r="CS33" s="209"/>
    </row>
    <row r="34" spans="1:97" outlineLevel="3">
      <c r="A34" s="223"/>
      <c r="B34" s="223"/>
      <c r="C34" s="223">
        <v>4</v>
      </c>
      <c r="D34" s="237" t="s">
        <v>1341</v>
      </c>
      <c r="E34" s="224"/>
      <c r="F34" s="224"/>
      <c r="G34" s="224"/>
      <c r="H34" s="224" t="s">
        <v>1411</v>
      </c>
      <c r="I34" s="224"/>
      <c r="J34" s="224"/>
      <c r="K34" s="224"/>
      <c r="L34" s="224"/>
      <c r="M34" s="224"/>
      <c r="N34" s="224"/>
      <c r="O34" s="224"/>
      <c r="P34" s="225">
        <v>43922</v>
      </c>
      <c r="Q34" s="225">
        <v>43941</v>
      </c>
      <c r="R34" s="227"/>
      <c r="S34" s="228">
        <v>30</v>
      </c>
      <c r="T34" s="228">
        <v>10</v>
      </c>
      <c r="U34" s="226">
        <v>30</v>
      </c>
      <c r="V34" s="226">
        <v>10</v>
      </c>
      <c r="W34" s="225"/>
      <c r="X34" s="225"/>
      <c r="Y34" s="229"/>
      <c r="Z34" s="230">
        <v>0</v>
      </c>
      <c r="AA34" s="231">
        <v>1</v>
      </c>
      <c r="AB34" s="239" t="s">
        <v>1412</v>
      </c>
      <c r="AC34" s="232"/>
      <c r="AD34" s="233">
        <v>0.33333333333333331</v>
      </c>
      <c r="AE34" s="234">
        <v>0.85</v>
      </c>
      <c r="AF34" s="208"/>
      <c r="AG34" s="209"/>
      <c r="AH34" s="209"/>
      <c r="AI34" s="209"/>
      <c r="AJ34" s="209"/>
      <c r="AK34" s="209"/>
      <c r="AL34" s="209"/>
      <c r="AM34" s="209"/>
      <c r="AN34" s="209"/>
      <c r="AO34" s="209"/>
      <c r="AP34" s="209"/>
      <c r="AQ34" s="209"/>
      <c r="AR34" s="209"/>
      <c r="AS34" s="209"/>
      <c r="AT34" s="209"/>
      <c r="AU34" s="209"/>
      <c r="AV34" s="209"/>
      <c r="AW34" s="209"/>
      <c r="AX34" s="209"/>
      <c r="AY34" s="209"/>
      <c r="AZ34" s="209"/>
      <c r="BA34" s="209"/>
      <c r="BB34" s="209"/>
      <c r="BC34" s="209"/>
      <c r="BD34" s="209"/>
      <c r="BE34" s="209"/>
      <c r="BF34" s="209"/>
      <c r="BG34" s="209"/>
      <c r="BH34" s="209"/>
      <c r="BI34" s="209"/>
      <c r="BJ34" s="209"/>
      <c r="BK34" s="209"/>
      <c r="BL34" s="209"/>
      <c r="BM34" s="209"/>
      <c r="BN34" s="209"/>
      <c r="BO34" s="209" t="str">
        <f>"    " &amp; TEXT(AE34,"#0.00%") &amp; " " &amp; "AI설계" &amp; "(김동환,최민준)" &amp; " " &amp; IF(P34="","",TEXT(P34,"M/D-")) &amp; IF(Q34="","",TEXT(Q34,"M/D")) &amp; " "</f>
        <v xml:space="preserve">    85.00% AI설계(김동환,최민준) 4/1-4/20 </v>
      </c>
      <c r="BP34" s="209"/>
      <c r="BQ34" s="209"/>
      <c r="BR34" s="209"/>
      <c r="BS34" s="209"/>
      <c r="BT34" s="209"/>
      <c r="BU34" s="209"/>
      <c r="BV34" s="209"/>
      <c r="BW34" s="209"/>
      <c r="BX34" s="209"/>
      <c r="BY34" s="209"/>
      <c r="BZ34" s="209"/>
      <c r="CA34" s="209"/>
      <c r="CB34" s="209"/>
      <c r="CC34" s="209"/>
      <c r="CD34" s="209"/>
      <c r="CE34" s="209"/>
      <c r="CF34" s="209"/>
      <c r="CG34" s="209"/>
      <c r="CH34" s="209"/>
      <c r="CI34" s="209"/>
      <c r="CJ34" s="209"/>
      <c r="CK34" s="209"/>
      <c r="CL34" s="209"/>
      <c r="CM34" s="209"/>
      <c r="CN34" s="209"/>
      <c r="CO34" s="209"/>
      <c r="CP34" s="209"/>
      <c r="CQ34" s="209"/>
      <c r="CR34" s="209"/>
      <c r="CS34" s="209"/>
    </row>
    <row r="35" spans="1:97" outlineLevel="3">
      <c r="A35" s="223"/>
      <c r="B35" s="223"/>
      <c r="C35" s="223">
        <v>4</v>
      </c>
      <c r="D35" s="237" t="s">
        <v>1413</v>
      </c>
      <c r="E35" s="224"/>
      <c r="F35" s="224"/>
      <c r="G35" s="224"/>
      <c r="H35" s="224" t="s">
        <v>1408</v>
      </c>
      <c r="I35" s="224"/>
      <c r="J35" s="224"/>
      <c r="K35" s="224"/>
      <c r="L35" s="224"/>
      <c r="M35" s="224"/>
      <c r="N35" s="224"/>
      <c r="O35" s="224"/>
      <c r="P35" s="225">
        <v>43900</v>
      </c>
      <c r="Q35" s="225">
        <v>43910</v>
      </c>
      <c r="R35" s="227"/>
      <c r="S35" s="228">
        <v>30</v>
      </c>
      <c r="T35" s="228">
        <v>10</v>
      </c>
      <c r="U35" s="226">
        <v>30</v>
      </c>
      <c r="V35" s="226">
        <v>10</v>
      </c>
      <c r="W35" s="225"/>
      <c r="X35" s="225"/>
      <c r="Y35" s="229"/>
      <c r="Z35" s="230">
        <v>0</v>
      </c>
      <c r="AA35" s="231">
        <v>1</v>
      </c>
      <c r="AB35" s="255" t="s">
        <v>1409</v>
      </c>
      <c r="AC35" s="232"/>
      <c r="AD35" s="233">
        <v>0.33333333333333331</v>
      </c>
      <c r="AE35" s="234">
        <v>0.6</v>
      </c>
      <c r="AF35" s="208"/>
      <c r="AG35" s="209"/>
      <c r="AH35" s="209"/>
      <c r="AI35" s="209"/>
      <c r="AJ35" s="209"/>
      <c r="AK35" s="209"/>
      <c r="AL35" s="209"/>
      <c r="AM35" s="209"/>
      <c r="AN35" s="209"/>
      <c r="AO35" s="209"/>
      <c r="AP35" s="209"/>
      <c r="AQ35" s="209"/>
      <c r="AR35" s="209"/>
      <c r="AS35" s="209"/>
      <c r="AT35" s="209"/>
      <c r="AU35" s="209"/>
      <c r="AV35" s="209"/>
      <c r="AW35" s="209"/>
      <c r="AX35" s="209"/>
      <c r="AY35" s="209"/>
      <c r="AZ35" s="209"/>
      <c r="BA35" s="209"/>
      <c r="BB35" s="209"/>
      <c r="BC35" s="209"/>
      <c r="BD35" s="209"/>
      <c r="BE35" s="209"/>
      <c r="BF35" s="209"/>
      <c r="BG35" s="209"/>
      <c r="BH35" s="209"/>
      <c r="BI35" s="209"/>
      <c r="BJ35" s="209"/>
      <c r="BK35" s="209"/>
      <c r="BL35" s="209"/>
      <c r="BM35" s="209"/>
      <c r="BN35" s="209" t="str">
        <f>"" &amp; TEXT(AE35,"#0.00%") &amp; " " &amp; "어플리케이션설계" &amp; "(오지우,김지영)" &amp; " " &amp; IF(P35="","",TEXT(P35,"M/D-")) &amp; IF(Q35="","",TEXT(Q35,"M/D")) &amp; " "</f>
        <v xml:space="preserve">60.00% 어플리케이션설계(오지우,김지영) 3/10-3/20 </v>
      </c>
      <c r="BO35" s="209"/>
      <c r="BP35" s="209"/>
      <c r="BQ35" s="209"/>
      <c r="BR35" s="209"/>
      <c r="BS35" s="209"/>
      <c r="BT35" s="209"/>
      <c r="BU35" s="209"/>
      <c r="BV35" s="209"/>
      <c r="BW35" s="209"/>
      <c r="BX35" s="209"/>
      <c r="BY35" s="209"/>
      <c r="BZ35" s="209"/>
      <c r="CA35" s="209"/>
      <c r="CB35" s="209"/>
      <c r="CC35" s="209"/>
      <c r="CD35" s="209"/>
      <c r="CE35" s="209"/>
      <c r="CF35" s="209"/>
      <c r="CG35" s="209"/>
      <c r="CH35" s="209"/>
      <c r="CI35" s="209"/>
      <c r="CJ35" s="209"/>
      <c r="CK35" s="209"/>
      <c r="CL35" s="209"/>
      <c r="CM35" s="209"/>
      <c r="CN35" s="209"/>
      <c r="CO35" s="209"/>
      <c r="CP35" s="209"/>
      <c r="CQ35" s="209"/>
      <c r="CR35" s="209"/>
      <c r="CS35" s="209"/>
    </row>
    <row r="36" spans="1:97" outlineLevel="1">
      <c r="A36" s="223"/>
      <c r="B36" s="223" t="s">
        <v>1300</v>
      </c>
      <c r="C36" s="223">
        <v>2</v>
      </c>
      <c r="D36" s="237" t="s">
        <v>1383</v>
      </c>
      <c r="E36" s="224"/>
      <c r="F36" s="224" t="s">
        <v>1221</v>
      </c>
      <c r="G36" s="224"/>
      <c r="H36" s="224"/>
      <c r="I36" s="224"/>
      <c r="J36" s="224"/>
      <c r="K36" s="224"/>
      <c r="L36" s="224"/>
      <c r="M36" s="224"/>
      <c r="N36" s="224"/>
      <c r="O36" s="224"/>
      <c r="P36" s="225">
        <v>43916</v>
      </c>
      <c r="Q36" s="225">
        <v>44006</v>
      </c>
      <c r="R36" s="227"/>
      <c r="S36" s="228">
        <v>737</v>
      </c>
      <c r="T36" s="228">
        <v>389</v>
      </c>
      <c r="U36" s="226">
        <v>252</v>
      </c>
      <c r="V36" s="226">
        <v>98</v>
      </c>
      <c r="W36" s="225"/>
      <c r="X36" s="225"/>
      <c r="Y36" s="229">
        <v>0</v>
      </c>
      <c r="Z36" s="230">
        <v>0</v>
      </c>
      <c r="AA36" s="231"/>
      <c r="AB36" s="227"/>
      <c r="AC36" s="232"/>
      <c r="AD36" s="233">
        <v>0.52781546811397562</v>
      </c>
      <c r="AE36" s="234">
        <v>0.66127544097693358</v>
      </c>
      <c r="AF36" s="208"/>
      <c r="AG36" s="209"/>
      <c r="AH36" s="209"/>
      <c r="AI36" s="209"/>
      <c r="AJ36" s="209"/>
      <c r="AK36" s="209"/>
      <c r="AL36" s="209"/>
      <c r="AM36" s="209"/>
      <c r="AN36" s="209"/>
      <c r="AO36" s="209"/>
      <c r="AP36" s="209"/>
      <c r="AQ36" s="209"/>
      <c r="AR36" s="209"/>
      <c r="AS36" s="209"/>
      <c r="AT36" s="209"/>
      <c r="AU36" s="209"/>
      <c r="AV36" s="209"/>
      <c r="AW36" s="209"/>
      <c r="AX36" s="209"/>
      <c r="AY36" s="209"/>
      <c r="AZ36" s="209"/>
      <c r="BA36" s="209"/>
      <c r="BB36" s="209"/>
      <c r="BC36" s="209"/>
      <c r="BD36" s="209"/>
      <c r="BE36" s="209"/>
      <c r="BF36" s="209"/>
      <c r="BG36" s="209"/>
      <c r="BH36" s="209"/>
      <c r="BI36" s="209"/>
      <c r="BJ36" s="209"/>
      <c r="BK36" s="209"/>
      <c r="BL36" s="209"/>
      <c r="BM36" s="209"/>
      <c r="BN36" s="209"/>
      <c r="BO36" s="209"/>
      <c r="BP36" s="209"/>
      <c r="BQ36" s="209"/>
      <c r="BR36" s="209"/>
      <c r="BS36" s="209"/>
      <c r="BT36" s="209"/>
      <c r="BU36" s="209"/>
      <c r="BV36" s="209"/>
      <c r="BW36" s="209"/>
      <c r="BX36" s="209"/>
      <c r="BY36" s="209"/>
      <c r="BZ36" s="209" t="str">
        <f>"   " &amp; TEXT(AE36,"#0.00%") &amp; " "</f>
        <v xml:space="preserve">   66.13% </v>
      </c>
      <c r="CA36" s="209"/>
      <c r="CB36" s="209"/>
      <c r="CC36" s="209"/>
      <c r="CD36" s="209"/>
      <c r="CE36" s="209"/>
      <c r="CF36" s="209"/>
      <c r="CG36" s="209"/>
      <c r="CH36" s="209"/>
      <c r="CI36" s="209"/>
      <c r="CJ36" s="209"/>
      <c r="CK36" s="209"/>
      <c r="CL36" s="209"/>
      <c r="CM36" s="209"/>
      <c r="CN36" s="209"/>
      <c r="CO36" s="209"/>
      <c r="CP36" s="209"/>
      <c r="CQ36" s="209"/>
      <c r="CR36" s="209" t="str">
        <f>"  " &amp; "개발" &amp; " " &amp; IF(P36="","",TEXT(P36,"M/D-")) &amp; IF(Q36="","",TEXT(Q36,"M/D")) &amp; " "</f>
        <v xml:space="preserve">  개발 3/26-6/24 </v>
      </c>
      <c r="CS36" s="209"/>
    </row>
    <row r="37" spans="1:97" outlineLevel="2">
      <c r="A37" s="223"/>
      <c r="B37" s="223" t="s">
        <v>1300</v>
      </c>
      <c r="C37" s="223">
        <v>3</v>
      </c>
      <c r="D37" s="237" t="s">
        <v>1345</v>
      </c>
      <c r="E37" s="224"/>
      <c r="F37" s="224"/>
      <c r="G37" s="224" t="s">
        <v>1346</v>
      </c>
      <c r="H37" s="224"/>
      <c r="I37" s="224"/>
      <c r="J37" s="224"/>
      <c r="K37" s="224"/>
      <c r="L37" s="224"/>
      <c r="M37" s="224"/>
      <c r="N37" s="224"/>
      <c r="O37" s="224"/>
      <c r="P37" s="225">
        <v>43797</v>
      </c>
      <c r="Q37" s="225">
        <v>43983</v>
      </c>
      <c r="R37" s="227"/>
      <c r="S37" s="228">
        <v>236</v>
      </c>
      <c r="T37" s="228">
        <v>196</v>
      </c>
      <c r="U37" s="226">
        <v>118</v>
      </c>
      <c r="V37" s="226">
        <v>98</v>
      </c>
      <c r="W37" s="225"/>
      <c r="X37" s="225"/>
      <c r="Y37" s="229">
        <v>0</v>
      </c>
      <c r="Z37" s="230">
        <v>0</v>
      </c>
      <c r="AA37" s="231"/>
      <c r="AB37" s="227"/>
      <c r="AC37" s="232"/>
      <c r="AD37" s="233">
        <v>0.83050847457627119</v>
      </c>
      <c r="AE37" s="234">
        <v>0.68499999999999994</v>
      </c>
      <c r="AF37" s="208"/>
      <c r="AG37" s="209"/>
      <c r="AH37" s="209"/>
      <c r="AI37" s="209"/>
      <c r="AJ37" s="209"/>
      <c r="AK37" s="209"/>
      <c r="AL37" s="209"/>
      <c r="AM37" s="209"/>
      <c r="AN37" s="209"/>
      <c r="AO37" s="209"/>
      <c r="AP37" s="209"/>
      <c r="AQ37" s="209"/>
      <c r="AR37" s="209"/>
      <c r="AS37" s="209"/>
      <c r="AT37" s="209"/>
      <c r="AU37" s="209"/>
      <c r="AV37" s="209"/>
      <c r="AW37" s="209"/>
      <c r="AX37" s="209"/>
      <c r="AY37" s="209"/>
      <c r="AZ37" s="209"/>
      <c r="BA37" s="209"/>
      <c r="BB37" s="209"/>
      <c r="BC37" s="209"/>
      <c r="BD37" s="209"/>
      <c r="BE37" s="209"/>
      <c r="BF37" s="209"/>
      <c r="BG37" s="209"/>
      <c r="BH37" s="209" t="str">
        <f>"     " &amp; TEXT(AE37,"#0.00%") &amp; " "</f>
        <v xml:space="preserve">     68.50% </v>
      </c>
      <c r="BI37" s="209"/>
      <c r="BJ37" s="209"/>
      <c r="BK37" s="209"/>
      <c r="BL37" s="209"/>
      <c r="BM37" s="209"/>
      <c r="BN37" s="209"/>
      <c r="BO37" s="209"/>
      <c r="BP37" s="209" t="str">
        <f>"    " &amp; "프로그램 개발" &amp; " " &amp; IF(P37="","",TEXT(P37,"M/D-")) &amp; IF(Q37="","",TEXT(Q37,"M/D")) &amp; " "</f>
        <v xml:space="preserve">    프로그램 개발 11/28-6/1 </v>
      </c>
      <c r="BQ37" s="209"/>
      <c r="BR37" s="209"/>
      <c r="BS37" s="209"/>
      <c r="BT37" s="209"/>
      <c r="BU37" s="209"/>
      <c r="BV37" s="209"/>
      <c r="BW37" s="209"/>
      <c r="BX37" s="209"/>
      <c r="BY37" s="209"/>
      <c r="BZ37" s="209"/>
      <c r="CA37" s="209"/>
      <c r="CB37" s="209"/>
      <c r="CC37" s="209"/>
      <c r="CD37" s="209"/>
      <c r="CE37" s="209"/>
      <c r="CF37" s="209"/>
      <c r="CG37" s="209"/>
      <c r="CH37" s="209"/>
      <c r="CI37" s="209"/>
      <c r="CJ37" s="209"/>
      <c r="CK37" s="209"/>
      <c r="CL37" s="209"/>
      <c r="CM37" s="209"/>
      <c r="CN37" s="209"/>
      <c r="CO37" s="209"/>
      <c r="CP37" s="209"/>
      <c r="CQ37" s="209"/>
      <c r="CR37" s="209"/>
      <c r="CS37" s="209"/>
    </row>
    <row r="38" spans="1:97" outlineLevel="3">
      <c r="A38" s="223"/>
      <c r="B38" s="223"/>
      <c r="C38" s="223">
        <v>4</v>
      </c>
      <c r="D38" s="237" t="s">
        <v>1347</v>
      </c>
      <c r="E38" s="224"/>
      <c r="F38" s="224"/>
      <c r="G38" s="224"/>
      <c r="H38" s="224" t="s">
        <v>1348</v>
      </c>
      <c r="I38" s="224"/>
      <c r="J38" s="224"/>
      <c r="K38" s="224"/>
      <c r="L38" s="224"/>
      <c r="M38" s="224"/>
      <c r="N38" s="224"/>
      <c r="O38" s="224"/>
      <c r="P38" s="225">
        <v>43797</v>
      </c>
      <c r="Q38" s="225">
        <v>43971</v>
      </c>
      <c r="R38" s="227"/>
      <c r="S38" s="228">
        <v>118</v>
      </c>
      <c r="T38" s="228">
        <v>98</v>
      </c>
      <c r="U38" s="226">
        <v>118</v>
      </c>
      <c r="V38" s="226">
        <v>98</v>
      </c>
      <c r="W38" s="225"/>
      <c r="X38" s="225"/>
      <c r="Y38" s="229"/>
      <c r="Z38" s="230">
        <v>0</v>
      </c>
      <c r="AA38" s="231">
        <v>1</v>
      </c>
      <c r="AB38" s="255" t="s">
        <v>1409</v>
      </c>
      <c r="AC38" s="232"/>
      <c r="AD38" s="233">
        <v>0.83050847457627119</v>
      </c>
      <c r="AE38" s="234">
        <v>0.72</v>
      </c>
      <c r="AF38" s="208"/>
      <c r="AG38" s="209"/>
      <c r="AH38" s="209"/>
      <c r="AI38" s="209"/>
      <c r="AJ38" s="209"/>
      <c r="AK38" s="209"/>
      <c r="AL38" s="209"/>
      <c r="AM38" s="209"/>
      <c r="AN38" s="209"/>
      <c r="AO38" s="209"/>
      <c r="AP38" s="209"/>
      <c r="AQ38" s="209"/>
      <c r="AR38" s="209"/>
      <c r="AS38" s="209"/>
      <c r="AT38" s="209"/>
      <c r="AU38" s="209"/>
      <c r="AV38" s="209"/>
      <c r="AW38" s="209"/>
      <c r="AX38" s="209"/>
      <c r="AY38" s="209"/>
      <c r="AZ38" s="209"/>
      <c r="BA38" s="209"/>
      <c r="BB38" s="209"/>
      <c r="BC38" s="209"/>
      <c r="BD38" s="209"/>
      <c r="BE38" s="209"/>
      <c r="BF38" s="209"/>
      <c r="BG38" s="209"/>
      <c r="BH38" s="209"/>
      <c r="BI38" s="209" t="str">
        <f>"    " &amp; TEXT(AE38,"#0.00%") &amp; " "</f>
        <v xml:space="preserve">    72.00% </v>
      </c>
      <c r="BJ38" s="209"/>
      <c r="BK38" s="209"/>
      <c r="BL38" s="209"/>
      <c r="BM38" s="209"/>
      <c r="BN38" s="209"/>
      <c r="BO38" s="209"/>
      <c r="BP38" s="209" t="str">
        <f>"    " &amp; "단위테스트시나리오작성" &amp; "(오지우,김지영)" &amp; " " &amp; IF(P38="","",TEXT(P38,"M/D-")) &amp; IF(Q38="","",TEXT(Q38,"M/D")) &amp; " "</f>
        <v xml:space="preserve">    단위테스트시나리오작성(오지우,김지영) 11/28-5/20 </v>
      </c>
      <c r="BQ38" s="209"/>
      <c r="BR38" s="209"/>
      <c r="BS38" s="209"/>
      <c r="BT38" s="209"/>
      <c r="BU38" s="209"/>
      <c r="BV38" s="209"/>
      <c r="BW38" s="209"/>
      <c r="BX38" s="209"/>
      <c r="BY38" s="209"/>
      <c r="BZ38" s="209"/>
      <c r="CA38" s="209"/>
      <c r="CB38" s="209"/>
      <c r="CC38" s="209"/>
      <c r="CD38" s="209"/>
      <c r="CE38" s="209"/>
      <c r="CF38" s="209"/>
      <c r="CG38" s="209"/>
      <c r="CH38" s="209"/>
      <c r="CI38" s="209"/>
      <c r="CJ38" s="209"/>
      <c r="CK38" s="209"/>
      <c r="CL38" s="209"/>
      <c r="CM38" s="209"/>
      <c r="CN38" s="209"/>
      <c r="CO38" s="209"/>
      <c r="CP38" s="209"/>
      <c r="CQ38" s="209"/>
      <c r="CR38" s="209"/>
      <c r="CS38" s="209"/>
    </row>
    <row r="39" spans="1:97" outlineLevel="3">
      <c r="A39" s="223"/>
      <c r="B39" s="223"/>
      <c r="C39" s="223">
        <v>4</v>
      </c>
      <c r="D39" s="237" t="s">
        <v>1349</v>
      </c>
      <c r="E39" s="224"/>
      <c r="F39" s="224"/>
      <c r="G39" s="224"/>
      <c r="H39" s="224" t="s">
        <v>1350</v>
      </c>
      <c r="I39" s="224"/>
      <c r="J39" s="224"/>
      <c r="K39" s="224"/>
      <c r="L39" s="224"/>
      <c r="M39" s="224"/>
      <c r="N39" s="224"/>
      <c r="O39" s="224"/>
      <c r="P39" s="225">
        <v>43797</v>
      </c>
      <c r="Q39" s="225">
        <v>43971</v>
      </c>
      <c r="R39" s="227"/>
      <c r="S39" s="228">
        <v>118</v>
      </c>
      <c r="T39" s="228">
        <v>98</v>
      </c>
      <c r="U39" s="226">
        <v>118</v>
      </c>
      <c r="V39" s="226">
        <v>98</v>
      </c>
      <c r="W39" s="225"/>
      <c r="X39" s="225"/>
      <c r="Y39" s="229"/>
      <c r="Z39" s="230">
        <v>0</v>
      </c>
      <c r="AA39" s="231">
        <v>1</v>
      </c>
      <c r="AB39" s="239" t="s">
        <v>1412</v>
      </c>
      <c r="AC39" s="232"/>
      <c r="AD39" s="233">
        <v>0.83050847457627119</v>
      </c>
      <c r="AE39" s="234">
        <v>0.65</v>
      </c>
      <c r="AF39" s="208"/>
      <c r="AG39" s="209"/>
      <c r="AH39" s="209"/>
      <c r="AI39" s="209"/>
      <c r="AJ39" s="209"/>
      <c r="AK39" s="209"/>
      <c r="AL39" s="209"/>
      <c r="AM39" s="209"/>
      <c r="AN39" s="209"/>
      <c r="AO39" s="209"/>
      <c r="AP39" s="209"/>
      <c r="AQ39" s="209"/>
      <c r="AR39" s="209"/>
      <c r="AS39" s="209"/>
      <c r="AT39" s="209"/>
      <c r="AU39" s="209"/>
      <c r="AV39" s="209"/>
      <c r="AW39" s="209"/>
      <c r="AX39" s="209"/>
      <c r="AY39" s="209"/>
      <c r="AZ39" s="209"/>
      <c r="BA39" s="209"/>
      <c r="BB39" s="209"/>
      <c r="BC39" s="209"/>
      <c r="BD39" s="209"/>
      <c r="BE39" s="209"/>
      <c r="BF39" s="209"/>
      <c r="BG39" s="209" t="str">
        <f>"      " &amp; TEXT(AE39,"#0.00%") &amp; " "</f>
        <v xml:space="preserve">      65.00% </v>
      </c>
      <c r="BH39" s="209"/>
      <c r="BI39" s="209"/>
      <c r="BJ39" s="209"/>
      <c r="BK39" s="209"/>
      <c r="BL39" s="209"/>
      <c r="BM39" s="209"/>
      <c r="BN39" s="209"/>
      <c r="BO39" s="209"/>
      <c r="BP39" s="209" t="str">
        <f>"    " &amp; "프로그램코딩 및 단위테스트" &amp; "(김동환,최민준)" &amp; " " &amp; IF(P39="","",TEXT(P39,"M/D-")) &amp; IF(Q39="","",TEXT(Q39,"M/D")) &amp; " "</f>
        <v xml:space="preserve">    프로그램코딩 및 단위테스트(김동환,최민준) 11/28-5/20 </v>
      </c>
      <c r="BQ39" s="209"/>
      <c r="BR39" s="209"/>
      <c r="BS39" s="209"/>
      <c r="BT39" s="209"/>
      <c r="BU39" s="209"/>
      <c r="BV39" s="209"/>
      <c r="BW39" s="209"/>
      <c r="BX39" s="209"/>
      <c r="BY39" s="209"/>
      <c r="BZ39" s="209"/>
      <c r="CA39" s="209"/>
      <c r="CB39" s="209"/>
      <c r="CC39" s="209"/>
      <c r="CD39" s="209"/>
      <c r="CE39" s="209"/>
      <c r="CF39" s="209"/>
      <c r="CG39" s="209"/>
      <c r="CH39" s="209"/>
      <c r="CI39" s="209"/>
      <c r="CJ39" s="209"/>
      <c r="CK39" s="209"/>
      <c r="CL39" s="209"/>
      <c r="CM39" s="209"/>
      <c r="CN39" s="209"/>
      <c r="CO39" s="209"/>
      <c r="CP39" s="209"/>
      <c r="CQ39" s="209"/>
      <c r="CR39" s="209"/>
      <c r="CS39" s="209"/>
    </row>
    <row r="40" spans="1:97" outlineLevel="2">
      <c r="A40" s="257"/>
      <c r="B40" s="257" t="s">
        <v>1300</v>
      </c>
      <c r="C40" s="257">
        <v>3</v>
      </c>
      <c r="D40" s="258" t="s">
        <v>1364</v>
      </c>
      <c r="E40" s="259"/>
      <c r="F40" s="259"/>
      <c r="G40" s="259" t="s">
        <v>1438</v>
      </c>
      <c r="H40" s="259"/>
      <c r="I40" s="259"/>
      <c r="J40" s="259"/>
      <c r="K40" s="259"/>
      <c r="L40" s="259"/>
      <c r="M40" s="259"/>
      <c r="N40" s="259"/>
      <c r="O40" s="259"/>
      <c r="P40" s="260">
        <v>43984</v>
      </c>
      <c r="Q40" s="225">
        <v>44005</v>
      </c>
      <c r="R40" s="259"/>
      <c r="S40" s="261">
        <v>501</v>
      </c>
      <c r="T40" s="261">
        <v>193</v>
      </c>
      <c r="U40" s="262">
        <v>251</v>
      </c>
      <c r="V40" s="262">
        <v>97</v>
      </c>
      <c r="W40" s="260"/>
      <c r="X40" s="260"/>
      <c r="Y40" s="263">
        <v>0</v>
      </c>
      <c r="Z40" s="264">
        <v>0</v>
      </c>
      <c r="AA40" s="265"/>
      <c r="AB40" s="259"/>
      <c r="AC40" s="266"/>
      <c r="AD40" s="233">
        <v>0.38522954091816369</v>
      </c>
      <c r="AE40" s="234">
        <v>0.65009980039920157</v>
      </c>
      <c r="AF40" s="208"/>
      <c r="AG40" s="209"/>
      <c r="AH40" s="209"/>
      <c r="AI40" s="209"/>
      <c r="AJ40" s="209"/>
      <c r="AK40" s="209"/>
      <c r="AL40" s="209"/>
      <c r="AM40" s="209"/>
      <c r="AN40" s="209"/>
      <c r="AO40" s="209"/>
      <c r="AP40" s="209"/>
      <c r="AQ40" s="209"/>
      <c r="AR40" s="209"/>
      <c r="AS40" s="209"/>
      <c r="AT40" s="209"/>
      <c r="AU40" s="209"/>
      <c r="AV40" s="209"/>
      <c r="AW40" s="209"/>
      <c r="AX40" s="209"/>
      <c r="AY40" s="209"/>
      <c r="AZ40" s="209"/>
      <c r="BA40" s="209"/>
      <c r="BB40" s="209"/>
      <c r="BC40" s="209"/>
      <c r="BD40" s="209"/>
      <c r="BE40" s="209"/>
      <c r="BF40" s="209"/>
      <c r="BG40" s="209"/>
      <c r="BH40" s="209"/>
      <c r="BI40" s="209"/>
      <c r="BJ40" s="209"/>
      <c r="BK40" s="209"/>
      <c r="BL40" s="209"/>
      <c r="BM40" s="209"/>
      <c r="BN40" s="209"/>
      <c r="BO40" s="209"/>
      <c r="BP40" s="209"/>
      <c r="BQ40" s="209"/>
      <c r="BR40" s="209"/>
      <c r="BS40" s="209"/>
      <c r="BT40" s="209"/>
      <c r="BU40" s="209"/>
      <c r="BV40" s="209"/>
      <c r="BW40" s="209"/>
      <c r="BX40" s="209"/>
      <c r="BY40" s="209" t="str">
        <f>"      " &amp; TEXT(AE40,"#0.00%") &amp; " "</f>
        <v xml:space="preserve">      65.01% </v>
      </c>
      <c r="BZ40" s="209"/>
      <c r="CA40" s="209"/>
      <c r="CB40" s="209"/>
      <c r="CC40" s="209"/>
      <c r="CD40" s="209"/>
      <c r="CE40" s="209"/>
      <c r="CF40" s="209"/>
      <c r="CG40" s="209"/>
      <c r="CH40" s="209"/>
      <c r="CI40" s="209"/>
      <c r="CJ40" s="209"/>
      <c r="CK40" s="209"/>
      <c r="CL40" s="209"/>
      <c r="CM40" s="209"/>
      <c r="CN40" s="209"/>
      <c r="CO40" s="209"/>
      <c r="CP40" s="209"/>
      <c r="CQ40" s="209"/>
      <c r="CR40" s="209" t="str">
        <f>"  " &amp; "테스트실시" &amp; " " &amp; IF(P40="","",TEXT(P40,"M/D-")) &amp; IF(Q40="","",TEXT(Q40,"M/D")) &amp; " "</f>
        <v xml:space="preserve">  테스트실시 6/2-6/23 </v>
      </c>
      <c r="CS40" s="209"/>
    </row>
    <row r="41" spans="1:97" outlineLevel="3">
      <c r="A41" s="257"/>
      <c r="B41" s="257"/>
      <c r="C41" s="257">
        <v>4</v>
      </c>
      <c r="D41" s="258" t="s">
        <v>1365</v>
      </c>
      <c r="E41" s="259"/>
      <c r="F41" s="259"/>
      <c r="G41" s="259"/>
      <c r="H41" s="259" t="s">
        <v>1366</v>
      </c>
      <c r="I41" s="259"/>
      <c r="J41" s="259"/>
      <c r="K41" s="259"/>
      <c r="L41" s="259"/>
      <c r="M41" s="259"/>
      <c r="N41" s="259"/>
      <c r="O41" s="259"/>
      <c r="P41" s="260">
        <v>43984</v>
      </c>
      <c r="Q41" s="260">
        <v>43997</v>
      </c>
      <c r="R41" s="259"/>
      <c r="S41" s="261">
        <v>251</v>
      </c>
      <c r="T41" s="261">
        <v>97</v>
      </c>
      <c r="U41" s="262">
        <v>251</v>
      </c>
      <c r="V41" s="262">
        <v>97</v>
      </c>
      <c r="W41" s="260"/>
      <c r="X41" s="260"/>
      <c r="Y41" s="263"/>
      <c r="Z41" s="264">
        <v>0</v>
      </c>
      <c r="AA41" s="265">
        <v>1</v>
      </c>
      <c r="AB41" s="267" t="s">
        <v>1442</v>
      </c>
      <c r="AC41" s="266"/>
      <c r="AD41" s="233">
        <v>0.38645418326693226</v>
      </c>
      <c r="AE41" s="234">
        <v>0.7</v>
      </c>
      <c r="AF41" s="208"/>
      <c r="AG41" s="209"/>
      <c r="AH41" s="209"/>
      <c r="AI41" s="209"/>
      <c r="AJ41" s="209"/>
      <c r="AK41" s="209"/>
      <c r="AL41" s="209"/>
      <c r="AM41" s="209"/>
      <c r="AN41" s="209"/>
      <c r="AO41" s="209"/>
      <c r="AP41" s="209"/>
      <c r="AQ41" s="209"/>
      <c r="AR41" s="209"/>
      <c r="AS41" s="209"/>
      <c r="AT41" s="209"/>
      <c r="AU41" s="209"/>
      <c r="AV41" s="209"/>
      <c r="AW41" s="209"/>
      <c r="AX41" s="209"/>
      <c r="AY41" s="209"/>
      <c r="AZ41" s="209"/>
      <c r="BA41" s="209"/>
      <c r="BB41" s="209"/>
      <c r="BC41" s="209"/>
      <c r="BD41" s="209"/>
      <c r="BE41" s="209"/>
      <c r="BF41" s="209"/>
      <c r="BG41" s="209"/>
      <c r="BH41" s="209"/>
      <c r="BI41" s="209"/>
      <c r="BJ41" s="209"/>
      <c r="BK41" s="209"/>
      <c r="BL41" s="209"/>
      <c r="BM41" s="209"/>
      <c r="BN41" s="209"/>
      <c r="BO41" s="209"/>
      <c r="BP41" s="209"/>
      <c r="BQ41" s="209"/>
      <c r="BR41" s="209"/>
      <c r="BS41" s="209"/>
      <c r="BT41" s="209"/>
      <c r="BU41" s="209"/>
      <c r="BV41" s="209"/>
      <c r="BW41" s="209"/>
      <c r="BX41" s="209"/>
      <c r="BY41" s="209"/>
      <c r="BZ41" s="209"/>
      <c r="CA41" s="209"/>
      <c r="CB41" s="209" t="str">
        <f>"    " &amp; TEXT(AE41,"#0.00%") &amp; " "</f>
        <v xml:space="preserve">    70.00% </v>
      </c>
      <c r="CC41" s="209"/>
      <c r="CD41" s="209"/>
      <c r="CE41" s="209"/>
      <c r="CF41" s="209"/>
      <c r="CG41" s="209"/>
      <c r="CH41" s="209"/>
      <c r="CI41" s="209"/>
      <c r="CJ41" s="209"/>
      <c r="CK41" s="209"/>
      <c r="CL41" s="209"/>
      <c r="CM41" s="209"/>
      <c r="CN41" s="209"/>
      <c r="CO41" s="209"/>
      <c r="CP41" s="209"/>
      <c r="CQ41" s="209"/>
      <c r="CR41" s="209" t="str">
        <f>"  " &amp; "통합테스트실시" &amp; "(김도은,김동환)" &amp; " " &amp; IF(P41="","",TEXT(P41,"M/D-")) &amp; IF(Q41="","",TEXT(Q41,"M/D")) &amp; " "</f>
        <v xml:space="preserve">  통합테스트실시(김도은,김동환) 6/2-6/15 </v>
      </c>
      <c r="CS41" s="209"/>
    </row>
    <row r="42" spans="1:97" outlineLevel="3">
      <c r="A42" s="257"/>
      <c r="B42" s="257"/>
      <c r="C42" s="257">
        <v>4</v>
      </c>
      <c r="D42" s="258" t="s">
        <v>1367</v>
      </c>
      <c r="E42" s="259"/>
      <c r="F42" s="259"/>
      <c r="G42" s="259"/>
      <c r="H42" s="259" t="s">
        <v>1368</v>
      </c>
      <c r="I42" s="259"/>
      <c r="J42" s="259"/>
      <c r="K42" s="259"/>
      <c r="L42" s="259"/>
      <c r="M42" s="259"/>
      <c r="N42" s="259"/>
      <c r="O42" s="259"/>
      <c r="P42" s="260">
        <v>43997</v>
      </c>
      <c r="Q42" s="225">
        <v>44005</v>
      </c>
      <c r="R42" s="259"/>
      <c r="S42" s="261">
        <v>250</v>
      </c>
      <c r="T42" s="261">
        <v>96</v>
      </c>
      <c r="U42" s="262">
        <v>250</v>
      </c>
      <c r="V42" s="262">
        <v>96</v>
      </c>
      <c r="W42" s="260"/>
      <c r="X42" s="260"/>
      <c r="Y42" s="263"/>
      <c r="Z42" s="264">
        <v>0</v>
      </c>
      <c r="AA42" s="265">
        <v>1</v>
      </c>
      <c r="AB42" s="239" t="s">
        <v>1441</v>
      </c>
      <c r="AC42" s="266"/>
      <c r="AD42" s="233">
        <v>0.38400000000000001</v>
      </c>
      <c r="AE42" s="234">
        <v>0.6</v>
      </c>
      <c r="AF42" s="208"/>
      <c r="AG42" s="209"/>
      <c r="AH42" s="209"/>
      <c r="AI42" s="209"/>
      <c r="AJ42" s="209"/>
      <c r="AK42" s="209"/>
      <c r="AL42" s="209"/>
      <c r="AM42" s="209"/>
      <c r="AN42" s="209"/>
      <c r="AO42" s="209"/>
      <c r="AP42" s="209"/>
      <c r="AQ42" s="209"/>
      <c r="AR42" s="209"/>
      <c r="AS42" s="209"/>
      <c r="AT42" s="209"/>
      <c r="AU42" s="209"/>
      <c r="AV42" s="209"/>
      <c r="AW42" s="209"/>
      <c r="AX42" s="209"/>
      <c r="AY42" s="209"/>
      <c r="AZ42" s="209"/>
      <c r="BA42" s="209"/>
      <c r="BB42" s="209"/>
      <c r="BC42" s="209"/>
      <c r="BD42" s="209"/>
      <c r="BE42" s="209"/>
      <c r="BF42" s="209"/>
      <c r="BG42" s="209"/>
      <c r="BH42" s="209"/>
      <c r="BI42" s="209"/>
      <c r="BJ42" s="209"/>
      <c r="BK42" s="209"/>
      <c r="BL42" s="209"/>
      <c r="BM42" s="209"/>
      <c r="BN42" s="209"/>
      <c r="BO42" s="209"/>
      <c r="BP42" s="209"/>
      <c r="BQ42" s="209"/>
      <c r="BR42" s="209"/>
      <c r="BS42" s="209"/>
      <c r="BT42" s="209"/>
      <c r="BU42" s="209"/>
      <c r="BV42" s="209"/>
      <c r="BW42" s="209" t="str">
        <f>"  " &amp; TEXT(AE42,"#0.00%") &amp; " "</f>
        <v xml:space="preserve">  60.00% </v>
      </c>
      <c r="BX42" s="209"/>
      <c r="BY42" s="209"/>
      <c r="BZ42" s="209"/>
      <c r="CA42" s="209"/>
      <c r="CB42" s="209"/>
      <c r="CC42" s="209"/>
      <c r="CD42" s="209"/>
      <c r="CE42" s="209"/>
      <c r="CF42" s="209"/>
      <c r="CG42" s="209"/>
      <c r="CH42" s="209"/>
      <c r="CI42" s="209"/>
      <c r="CJ42" s="209"/>
      <c r="CK42" s="209"/>
      <c r="CL42" s="209"/>
      <c r="CM42" s="209"/>
      <c r="CN42" s="209"/>
      <c r="CO42" s="209"/>
      <c r="CP42" s="209"/>
      <c r="CQ42" s="209"/>
      <c r="CR42" s="209" t="str">
        <f>"  " &amp; "시스템테스트실시" &amp; "(김도은, 김민석)" &amp; " " &amp; IF(P42="","",TEXT(P42,"M/D-")) &amp; IF(Q42="","",TEXT(Q42,"M/D")) &amp; " "</f>
        <v xml:space="preserve">  시스템테스트실시(김도은, 김민석) 6/15-6/23 </v>
      </c>
      <c r="CS42" s="209"/>
    </row>
    <row r="43" spans="1:97" outlineLevel="1">
      <c r="A43" s="257"/>
      <c r="B43" s="257" t="s">
        <v>1300</v>
      </c>
      <c r="C43" s="257">
        <v>2</v>
      </c>
      <c r="D43" s="258" t="s">
        <v>1384</v>
      </c>
      <c r="E43" s="259"/>
      <c r="F43" s="259" t="s">
        <v>1439</v>
      </c>
      <c r="G43" s="259"/>
      <c r="H43" s="259"/>
      <c r="I43" s="259"/>
      <c r="J43" s="259"/>
      <c r="K43" s="259"/>
      <c r="L43" s="259"/>
      <c r="M43" s="259"/>
      <c r="N43" s="259"/>
      <c r="O43" s="259"/>
      <c r="P43" s="225">
        <v>44005</v>
      </c>
      <c r="Q43" s="225">
        <v>44007</v>
      </c>
      <c r="R43" s="259"/>
      <c r="S43" s="261">
        <v>140</v>
      </c>
      <c r="T43" s="261">
        <v>120</v>
      </c>
      <c r="U43" s="262">
        <v>140</v>
      </c>
      <c r="V43" s="262">
        <v>120</v>
      </c>
      <c r="W43" s="260"/>
      <c r="X43" s="260"/>
      <c r="Y43" s="263">
        <v>0</v>
      </c>
      <c r="Z43" s="264">
        <v>0</v>
      </c>
      <c r="AA43" s="265"/>
      <c r="AB43" s="259"/>
      <c r="AC43" s="266"/>
      <c r="AD43" s="233">
        <v>0.8571428571428571</v>
      </c>
      <c r="AE43" s="234">
        <v>0.8</v>
      </c>
      <c r="AF43" s="208"/>
      <c r="AG43" s="209"/>
      <c r="AH43" s="209"/>
      <c r="AI43" s="209"/>
      <c r="AJ43" s="209"/>
      <c r="AK43" s="209"/>
      <c r="AL43" s="209"/>
      <c r="AM43" s="209"/>
      <c r="AN43" s="209"/>
      <c r="AO43" s="209"/>
      <c r="AP43" s="209"/>
      <c r="AQ43" s="209"/>
      <c r="AR43" s="209"/>
      <c r="AS43" s="209"/>
      <c r="AT43" s="209"/>
      <c r="AU43" s="209"/>
      <c r="AV43" s="209"/>
      <c r="AW43" s="209"/>
      <c r="AX43" s="209"/>
      <c r="AY43" s="209"/>
      <c r="AZ43" s="209"/>
      <c r="BA43" s="209"/>
      <c r="BB43" s="209"/>
      <c r="BC43" s="209"/>
      <c r="BD43" s="209"/>
      <c r="BE43" s="209"/>
      <c r="BF43" s="209"/>
      <c r="BG43" s="209"/>
      <c r="BH43" s="209"/>
      <c r="BI43" s="209"/>
      <c r="BJ43" s="209" t="str">
        <f>"     " &amp; TEXT(AE43,"#0.00%") &amp; " "</f>
        <v xml:space="preserve">     80.00% </v>
      </c>
      <c r="BK43" s="209"/>
      <c r="BL43" s="209"/>
      <c r="BM43" s="209"/>
      <c r="BN43" s="209"/>
      <c r="BO43" s="209"/>
      <c r="BP43" s="209" t="str">
        <f>"    " &amp; "구현" &amp; " " &amp; IF(P43="","",TEXT(P43,"M/D-")) &amp; IF(Q43="","",TEXT(Q43,"M/D")) &amp; " "</f>
        <v xml:space="preserve">    구현 6/23-6/25 </v>
      </c>
      <c r="BQ43" s="209"/>
      <c r="BR43" s="209"/>
      <c r="BS43" s="209"/>
      <c r="BT43" s="209"/>
      <c r="BU43" s="209"/>
      <c r="BV43" s="209"/>
      <c r="BW43" s="209"/>
      <c r="BX43" s="209"/>
      <c r="BY43" s="209"/>
      <c r="BZ43" s="209"/>
      <c r="CA43" s="209"/>
      <c r="CB43" s="209"/>
      <c r="CC43" s="209"/>
      <c r="CD43" s="209"/>
      <c r="CE43" s="209"/>
      <c r="CF43" s="209"/>
      <c r="CG43" s="209"/>
      <c r="CH43" s="209"/>
      <c r="CI43" s="209"/>
      <c r="CJ43" s="209"/>
      <c r="CK43" s="209"/>
      <c r="CL43" s="209"/>
      <c r="CM43" s="209"/>
      <c r="CN43" s="209"/>
      <c r="CO43" s="209"/>
      <c r="CP43" s="209"/>
      <c r="CQ43" s="209"/>
      <c r="CR43" s="209"/>
      <c r="CS43" s="209"/>
    </row>
    <row r="44" spans="1:97" outlineLevel="2">
      <c r="A44" s="257"/>
      <c r="B44" s="257" t="s">
        <v>1300</v>
      </c>
      <c r="C44" s="257">
        <v>3</v>
      </c>
      <c r="D44" s="258" t="s">
        <v>1369</v>
      </c>
      <c r="E44" s="259"/>
      <c r="F44" s="259"/>
      <c r="G44" s="259" t="s">
        <v>1440</v>
      </c>
      <c r="H44" s="259"/>
      <c r="I44" s="259"/>
      <c r="J44" s="259"/>
      <c r="K44" s="259"/>
      <c r="L44" s="259"/>
      <c r="M44" s="259"/>
      <c r="N44" s="259"/>
      <c r="O44" s="259"/>
      <c r="P44" s="225">
        <v>44005</v>
      </c>
      <c r="Q44" s="225">
        <v>44007</v>
      </c>
      <c r="R44" s="259"/>
      <c r="S44" s="261">
        <v>140</v>
      </c>
      <c r="T44" s="261">
        <v>120</v>
      </c>
      <c r="U44" s="262">
        <v>140</v>
      </c>
      <c r="V44" s="262">
        <v>120</v>
      </c>
      <c r="W44" s="260"/>
      <c r="X44" s="260"/>
      <c r="Y44" s="263">
        <v>0</v>
      </c>
      <c r="Z44" s="264">
        <v>0</v>
      </c>
      <c r="AA44" s="265"/>
      <c r="AB44" s="259"/>
      <c r="AC44" s="266"/>
      <c r="AD44" s="233">
        <v>0.8571428571428571</v>
      </c>
      <c r="AE44" s="234">
        <v>0.8</v>
      </c>
      <c r="AF44" s="208"/>
      <c r="AG44" s="209"/>
      <c r="AH44" s="209"/>
      <c r="AI44" s="209"/>
      <c r="AJ44" s="209"/>
      <c r="AK44" s="209"/>
      <c r="AL44" s="209"/>
      <c r="AM44" s="209"/>
      <c r="AN44" s="209"/>
      <c r="AO44" s="209"/>
      <c r="AP44" s="209"/>
      <c r="AQ44" s="209"/>
      <c r="AR44" s="209"/>
      <c r="AS44" s="209"/>
      <c r="AT44" s="209"/>
      <c r="AU44" s="209"/>
      <c r="AV44" s="209"/>
      <c r="AW44" s="209"/>
      <c r="AX44" s="209"/>
      <c r="AY44" s="209"/>
      <c r="AZ44" s="209"/>
      <c r="BA44" s="209"/>
      <c r="BB44" s="209"/>
      <c r="BC44" s="209"/>
      <c r="BD44" s="209"/>
      <c r="BE44" s="209"/>
      <c r="BF44" s="209"/>
      <c r="BG44" s="209"/>
      <c r="BH44" s="209"/>
      <c r="BI44" s="209"/>
      <c r="BJ44" s="209" t="str">
        <f>"     " &amp; TEXT(AE44,"#0.00%") &amp; " "</f>
        <v xml:space="preserve">     80.00% </v>
      </c>
      <c r="BK44" s="209"/>
      <c r="BL44" s="209"/>
      <c r="BM44" s="209"/>
      <c r="BN44" s="209"/>
      <c r="BO44" s="209"/>
      <c r="BP44" s="209" t="str">
        <f>"    " &amp; "구현준비" &amp; " " &amp; IF(P44="","",TEXT(P44,"M/D-")) &amp; IF(Q44="","",TEXT(Q44,"M/D")) &amp; " "</f>
        <v xml:space="preserve">    구현준비 6/23-6/25 </v>
      </c>
      <c r="BQ44" s="209"/>
      <c r="BR44" s="209"/>
      <c r="BS44" s="209"/>
      <c r="BT44" s="209"/>
      <c r="BU44" s="209"/>
      <c r="BV44" s="209"/>
      <c r="BW44" s="209"/>
      <c r="BX44" s="209"/>
      <c r="BY44" s="209"/>
      <c r="BZ44" s="209"/>
      <c r="CA44" s="209"/>
      <c r="CB44" s="209"/>
      <c r="CC44" s="209"/>
      <c r="CD44" s="209"/>
      <c r="CE44" s="209"/>
      <c r="CF44" s="209"/>
      <c r="CG44" s="209"/>
      <c r="CH44" s="209"/>
      <c r="CI44" s="209"/>
      <c r="CJ44" s="209"/>
      <c r="CK44" s="209"/>
      <c r="CL44" s="209"/>
      <c r="CM44" s="209"/>
      <c r="CN44" s="209"/>
      <c r="CO44" s="209"/>
      <c r="CP44" s="209"/>
      <c r="CQ44" s="209"/>
      <c r="CR44" s="209"/>
      <c r="CS44" s="209"/>
    </row>
    <row r="45" spans="1:97" outlineLevel="3">
      <c r="A45" s="257"/>
      <c r="B45" s="257"/>
      <c r="C45" s="257">
        <v>4</v>
      </c>
      <c r="D45" s="258" t="s">
        <v>1370</v>
      </c>
      <c r="E45" s="259"/>
      <c r="F45" s="259"/>
      <c r="G45" s="259"/>
      <c r="H45" s="259" t="s">
        <v>1371</v>
      </c>
      <c r="I45" s="259"/>
      <c r="J45" s="259"/>
      <c r="K45" s="259"/>
      <c r="L45" s="259"/>
      <c r="M45" s="259"/>
      <c r="N45" s="259"/>
      <c r="O45" s="259"/>
      <c r="P45" s="225">
        <v>44005</v>
      </c>
      <c r="Q45" s="225">
        <v>44007</v>
      </c>
      <c r="R45" s="259"/>
      <c r="S45" s="261">
        <v>140</v>
      </c>
      <c r="T45" s="261">
        <v>120</v>
      </c>
      <c r="U45" s="262">
        <v>140</v>
      </c>
      <c r="V45" s="262">
        <v>120</v>
      </c>
      <c r="W45" s="260"/>
      <c r="X45" s="260"/>
      <c r="Y45" s="263"/>
      <c r="Z45" s="264">
        <v>0</v>
      </c>
      <c r="AA45" s="265">
        <v>1</v>
      </c>
      <c r="AB45" s="259" t="s">
        <v>1405</v>
      </c>
      <c r="AC45" s="266"/>
      <c r="AD45" s="233">
        <v>0.8571428571428571</v>
      </c>
      <c r="AE45" s="234">
        <v>0.8</v>
      </c>
      <c r="AF45" s="208"/>
      <c r="AG45" s="209"/>
      <c r="AH45" s="209"/>
      <c r="AI45" s="209"/>
      <c r="AJ45" s="209"/>
      <c r="AK45" s="209"/>
      <c r="AL45" s="209"/>
      <c r="AM45" s="209"/>
      <c r="AN45" s="209"/>
      <c r="AO45" s="209"/>
      <c r="AP45" s="209"/>
      <c r="AQ45" s="209"/>
      <c r="AR45" s="209"/>
      <c r="AS45" s="209"/>
      <c r="AT45" s="209"/>
      <c r="AU45" s="209"/>
      <c r="AV45" s="209"/>
      <c r="AW45" s="209"/>
      <c r="AX45" s="209"/>
      <c r="AY45" s="209"/>
      <c r="AZ45" s="209"/>
      <c r="BA45" s="209"/>
      <c r="BB45" s="209"/>
      <c r="BC45" s="209"/>
      <c r="BD45" s="209"/>
      <c r="BE45" s="209"/>
      <c r="BF45" s="209"/>
      <c r="BG45" s="209"/>
      <c r="BH45" s="209"/>
      <c r="BI45" s="209"/>
      <c r="BJ45" s="209" t="str">
        <f>"     " &amp; TEXT(AE45,"#0.00%") &amp; " "</f>
        <v xml:space="preserve">     80.00% </v>
      </c>
      <c r="BK45" s="209"/>
      <c r="BL45" s="209"/>
      <c r="BM45" s="209"/>
      <c r="BN45" s="209"/>
      <c r="BO45" s="209"/>
      <c r="BP45" s="209" t="str">
        <f>"    " &amp; "Release 및 Contingency plan수립" &amp; "(1조 전원)" &amp; " " &amp; IF(P45="","",TEXT(P45,"M/D-")) &amp; IF(Q45="","",TEXT(Q45,"M/D")) &amp; " "</f>
        <v xml:space="preserve">    Release 및 Contingency plan수립(1조 전원) 6/23-6/25 </v>
      </c>
      <c r="BQ45" s="209"/>
      <c r="BR45" s="209"/>
      <c r="BS45" s="209"/>
      <c r="BT45" s="209"/>
      <c r="BU45" s="209"/>
      <c r="BV45" s="209"/>
      <c r="BW45" s="209"/>
      <c r="BX45" s="209"/>
      <c r="BY45" s="209"/>
      <c r="BZ45" s="209"/>
      <c r="CA45" s="209"/>
      <c r="CB45" s="209"/>
      <c r="CC45" s="209"/>
      <c r="CD45" s="209"/>
      <c r="CE45" s="209"/>
      <c r="CF45" s="209"/>
      <c r="CG45" s="209"/>
      <c r="CH45" s="209"/>
      <c r="CI45" s="209"/>
      <c r="CJ45" s="209"/>
      <c r="CK45" s="209"/>
      <c r="CL45" s="209"/>
      <c r="CM45" s="209"/>
      <c r="CN45" s="209"/>
      <c r="CO45" s="209"/>
      <c r="CP45" s="209"/>
      <c r="CQ45" s="209"/>
      <c r="CR45" s="209"/>
      <c r="CS45" s="209"/>
    </row>
    <row r="46" spans="1:97">
      <c r="A46" s="241"/>
      <c r="B46" s="241"/>
      <c r="C46" s="241">
        <v>0</v>
      </c>
      <c r="D46" s="242"/>
      <c r="E46" s="243"/>
      <c r="F46" s="243"/>
      <c r="G46" s="243"/>
      <c r="H46" s="243"/>
      <c r="I46" s="243"/>
      <c r="J46" s="243"/>
      <c r="K46" s="243"/>
      <c r="L46" s="243"/>
      <c r="M46" s="243"/>
      <c r="N46" s="243"/>
      <c r="O46" s="243"/>
      <c r="P46" s="244"/>
      <c r="Q46" s="244"/>
      <c r="R46" s="245"/>
      <c r="S46" s="246"/>
      <c r="T46" s="246"/>
      <c r="U46" s="247"/>
      <c r="V46" s="247"/>
      <c r="W46" s="244"/>
      <c r="X46" s="244"/>
      <c r="Y46" s="248"/>
      <c r="Z46" s="249"/>
      <c r="AA46" s="250"/>
      <c r="AB46" s="245"/>
      <c r="AC46" s="251"/>
      <c r="AD46" s="252"/>
      <c r="AE46" s="253"/>
      <c r="AF46" s="207"/>
      <c r="AG46" s="207"/>
      <c r="AH46" s="207"/>
      <c r="AI46" s="207"/>
      <c r="AJ46" s="207"/>
      <c r="AK46" s="207"/>
      <c r="AL46" s="207"/>
      <c r="AM46" s="207"/>
      <c r="AN46" s="207"/>
      <c r="AO46" s="207"/>
      <c r="AP46" s="207"/>
      <c r="AQ46" s="207"/>
      <c r="AR46" s="207"/>
      <c r="AS46" s="207"/>
      <c r="AT46" s="207"/>
      <c r="AU46" s="207"/>
      <c r="AV46" s="207"/>
      <c r="AW46" s="207"/>
      <c r="AX46" s="207"/>
      <c r="AY46" s="207"/>
      <c r="AZ46" s="207"/>
      <c r="BA46" s="207"/>
      <c r="BB46" s="207"/>
      <c r="BC46" s="207"/>
      <c r="BD46" s="207"/>
      <c r="BE46" s="207"/>
      <c r="BF46" s="207"/>
      <c r="BG46" s="207"/>
      <c r="BH46" s="207"/>
      <c r="BI46" s="207"/>
      <c r="BJ46" s="207"/>
      <c r="BK46" s="207"/>
      <c r="BL46" s="207"/>
      <c r="BM46" s="207"/>
      <c r="BN46" s="207"/>
      <c r="BO46" s="207"/>
      <c r="BP46" s="207"/>
      <c r="BQ46" s="207"/>
      <c r="BR46" s="207"/>
      <c r="BS46" s="207"/>
      <c r="BT46" s="207"/>
      <c r="BU46" s="207"/>
      <c r="BV46" s="207"/>
      <c r="BW46" s="207"/>
      <c r="BX46" s="207"/>
      <c r="BY46" s="207"/>
      <c r="BZ46" s="207"/>
      <c r="CA46" s="207"/>
      <c r="CB46" s="207"/>
      <c r="CC46" s="207"/>
      <c r="CD46" s="207"/>
      <c r="CE46" s="207"/>
      <c r="CF46" s="207"/>
      <c r="CG46" s="207"/>
      <c r="CH46" s="207"/>
      <c r="CI46" s="207"/>
      <c r="CJ46" s="207"/>
      <c r="CK46" s="207"/>
      <c r="CL46" s="207"/>
      <c r="CM46" s="207"/>
      <c r="CN46" s="207"/>
      <c r="CO46" s="207"/>
      <c r="CP46" s="207"/>
      <c r="CQ46" s="207"/>
      <c r="CR46" s="207"/>
      <c r="CS46" s="207"/>
    </row>
    <row r="47" spans="1:97">
      <c r="A47" s="223"/>
      <c r="B47" s="223"/>
      <c r="C47" s="223">
        <v>0</v>
      </c>
      <c r="D47" s="237"/>
      <c r="E47" s="224"/>
      <c r="F47" s="224"/>
      <c r="G47" s="224"/>
      <c r="H47" s="224"/>
      <c r="I47" s="224"/>
      <c r="J47" s="224"/>
      <c r="K47" s="224"/>
      <c r="L47" s="224"/>
      <c r="M47" s="224"/>
      <c r="N47" s="224"/>
      <c r="O47" s="224"/>
      <c r="P47" s="225"/>
      <c r="Q47" s="225"/>
      <c r="R47" s="227"/>
      <c r="S47" s="228"/>
      <c r="T47" s="228"/>
      <c r="U47" s="226"/>
      <c r="V47" s="226"/>
      <c r="W47" s="225"/>
      <c r="X47" s="225"/>
      <c r="Y47" s="229"/>
      <c r="Z47" s="230"/>
      <c r="AA47" s="231"/>
      <c r="AB47" s="227"/>
      <c r="AC47" s="232"/>
      <c r="AD47" s="233"/>
      <c r="AE47" s="234"/>
    </row>
    <row r="48" spans="1:97">
      <c r="A48" s="223"/>
      <c r="B48" s="223"/>
      <c r="C48" s="223">
        <v>0</v>
      </c>
      <c r="D48" s="237"/>
      <c r="E48" s="224"/>
      <c r="F48" s="224"/>
      <c r="G48" s="224"/>
      <c r="H48" s="224"/>
      <c r="I48" s="224"/>
      <c r="J48" s="224"/>
      <c r="K48" s="224"/>
      <c r="L48" s="224"/>
      <c r="M48" s="224"/>
      <c r="N48" s="224"/>
      <c r="O48" s="224"/>
      <c r="P48" s="225"/>
      <c r="Q48" s="225"/>
      <c r="R48" s="227"/>
      <c r="S48" s="228"/>
      <c r="T48" s="228"/>
      <c r="U48" s="226"/>
      <c r="V48" s="226"/>
      <c r="W48" s="225"/>
      <c r="X48" s="225"/>
      <c r="Y48" s="229"/>
      <c r="Z48" s="230"/>
      <c r="AA48" s="231"/>
      <c r="AB48" s="227"/>
      <c r="AC48" s="232"/>
      <c r="AD48" s="233"/>
      <c r="AE48" s="234"/>
    </row>
    <row r="49" spans="1:31">
      <c r="A49" s="223"/>
      <c r="B49" s="223"/>
      <c r="C49" s="223">
        <v>0</v>
      </c>
      <c r="D49" s="237"/>
      <c r="E49" s="224"/>
      <c r="F49" s="224"/>
      <c r="G49" s="224"/>
      <c r="H49" s="224"/>
      <c r="I49" s="224"/>
      <c r="J49" s="224"/>
      <c r="K49" s="224"/>
      <c r="L49" s="224"/>
      <c r="M49" s="224"/>
      <c r="N49" s="224"/>
      <c r="O49" s="224"/>
      <c r="P49" s="225"/>
      <c r="Q49" s="225"/>
      <c r="R49" s="227"/>
      <c r="S49" s="228"/>
      <c r="T49" s="228"/>
      <c r="U49" s="226"/>
      <c r="V49" s="226"/>
      <c r="W49" s="225"/>
      <c r="X49" s="225"/>
      <c r="Y49" s="229"/>
      <c r="Z49" s="230"/>
      <c r="AA49" s="231"/>
      <c r="AB49" s="227"/>
      <c r="AC49" s="232"/>
      <c r="AD49" s="233"/>
      <c r="AE49" s="234"/>
    </row>
    <row r="50" spans="1:31">
      <c r="A50" s="223"/>
      <c r="B50" s="223"/>
      <c r="C50" s="223">
        <v>0</v>
      </c>
      <c r="D50" s="237"/>
      <c r="E50" s="224"/>
      <c r="F50" s="224"/>
      <c r="G50" s="224"/>
      <c r="H50" s="224"/>
      <c r="I50" s="224"/>
      <c r="J50" s="224"/>
      <c r="K50" s="224"/>
      <c r="L50" s="224"/>
      <c r="M50" s="224"/>
      <c r="N50" s="224"/>
      <c r="O50" s="224"/>
      <c r="P50" s="225"/>
      <c r="Q50" s="225"/>
      <c r="R50" s="227"/>
      <c r="S50" s="228"/>
      <c r="T50" s="228"/>
      <c r="U50" s="226"/>
      <c r="V50" s="226"/>
      <c r="W50" s="225"/>
      <c r="X50" s="225"/>
      <c r="Y50" s="229"/>
      <c r="Z50" s="230"/>
      <c r="AA50" s="231"/>
      <c r="AB50" s="227"/>
      <c r="AC50" s="232"/>
      <c r="AD50" s="233"/>
      <c r="AE50" s="234"/>
    </row>
    <row r="51" spans="1:31">
      <c r="A51" s="223"/>
      <c r="B51" s="223"/>
      <c r="C51" s="223">
        <v>0</v>
      </c>
      <c r="D51" s="237"/>
      <c r="E51" s="224"/>
      <c r="F51" s="224"/>
      <c r="G51" s="224"/>
      <c r="H51" s="224"/>
      <c r="I51" s="224"/>
      <c r="J51" s="224"/>
      <c r="K51" s="224"/>
      <c r="L51" s="224"/>
      <c r="M51" s="224"/>
      <c r="N51" s="224"/>
      <c r="O51" s="224"/>
      <c r="P51" s="225"/>
      <c r="Q51" s="225"/>
      <c r="R51" s="227"/>
      <c r="S51" s="228"/>
      <c r="T51" s="228"/>
      <c r="U51" s="226"/>
      <c r="V51" s="226"/>
      <c r="W51" s="225"/>
      <c r="X51" s="225"/>
      <c r="Y51" s="229"/>
      <c r="Z51" s="230"/>
      <c r="AA51" s="231"/>
      <c r="AB51" s="227"/>
      <c r="AC51" s="232"/>
      <c r="AD51" s="233"/>
      <c r="AE51" s="234"/>
    </row>
    <row r="52" spans="1:31">
      <c r="A52" s="223"/>
      <c r="B52" s="223"/>
      <c r="C52" s="223">
        <v>0</v>
      </c>
      <c r="D52" s="237"/>
      <c r="E52" s="224"/>
      <c r="F52" s="224"/>
      <c r="G52" s="224"/>
      <c r="H52" s="224"/>
      <c r="I52" s="224"/>
      <c r="J52" s="224"/>
      <c r="K52" s="224"/>
      <c r="L52" s="224"/>
      <c r="M52" s="224"/>
      <c r="N52" s="224"/>
      <c r="O52" s="224"/>
      <c r="P52" s="225"/>
      <c r="Q52" s="225"/>
      <c r="R52" s="227"/>
      <c r="S52" s="228"/>
      <c r="T52" s="228"/>
      <c r="U52" s="226"/>
      <c r="V52" s="226"/>
      <c r="W52" s="225"/>
      <c r="X52" s="225"/>
      <c r="Y52" s="229"/>
      <c r="Z52" s="230"/>
      <c r="AA52" s="231"/>
      <c r="AB52" s="227"/>
      <c r="AC52" s="232"/>
      <c r="AD52" s="233"/>
      <c r="AE52" s="234"/>
    </row>
    <row r="53" spans="1:31">
      <c r="A53" s="223"/>
      <c r="B53" s="223"/>
      <c r="C53" s="223">
        <v>0</v>
      </c>
      <c r="D53" s="237"/>
      <c r="E53" s="224"/>
      <c r="F53" s="224"/>
      <c r="G53" s="224"/>
      <c r="H53" s="224"/>
      <c r="I53" s="224"/>
      <c r="J53" s="224"/>
      <c r="K53" s="224"/>
      <c r="L53" s="224"/>
      <c r="M53" s="224"/>
      <c r="N53" s="224"/>
      <c r="O53" s="224"/>
      <c r="P53" s="225"/>
      <c r="Q53" s="225"/>
      <c r="R53" s="227"/>
      <c r="S53" s="228"/>
      <c r="T53" s="228"/>
      <c r="U53" s="226"/>
      <c r="V53" s="226"/>
      <c r="W53" s="225"/>
      <c r="X53" s="225"/>
      <c r="Y53" s="229"/>
      <c r="Z53" s="230"/>
      <c r="AA53" s="231"/>
      <c r="AB53" s="227"/>
      <c r="AC53" s="232"/>
      <c r="AD53" s="233"/>
      <c r="AE53" s="234"/>
    </row>
    <row r="54" spans="1:31">
      <c r="A54" s="223"/>
      <c r="B54" s="223"/>
      <c r="C54" s="223">
        <v>0</v>
      </c>
      <c r="D54" s="237"/>
      <c r="E54" s="224"/>
      <c r="F54" s="224"/>
      <c r="G54" s="224"/>
      <c r="H54" s="224"/>
      <c r="I54" s="224"/>
      <c r="J54" s="224"/>
      <c r="K54" s="224"/>
      <c r="L54" s="224"/>
      <c r="M54" s="224"/>
      <c r="N54" s="224"/>
      <c r="O54" s="224"/>
      <c r="P54" s="225"/>
      <c r="Q54" s="225"/>
      <c r="R54" s="227"/>
      <c r="S54" s="228"/>
      <c r="T54" s="228"/>
      <c r="U54" s="226"/>
      <c r="V54" s="226"/>
      <c r="W54" s="225"/>
      <c r="X54" s="225"/>
      <c r="Y54" s="229"/>
      <c r="Z54" s="230"/>
      <c r="AA54" s="231"/>
      <c r="AB54" s="227"/>
      <c r="AC54" s="232"/>
      <c r="AD54" s="233"/>
      <c r="AE54" s="234"/>
    </row>
    <row r="55" spans="1:31">
      <c r="A55" s="210"/>
      <c r="B55" s="210"/>
      <c r="C55" s="210"/>
      <c r="D55" s="211"/>
      <c r="E55" s="212"/>
      <c r="F55" s="212"/>
      <c r="G55" s="212"/>
      <c r="H55" s="212"/>
      <c r="I55" s="212"/>
      <c r="J55" s="212"/>
      <c r="K55" s="212"/>
      <c r="L55" s="212"/>
      <c r="M55" s="212"/>
      <c r="N55" s="212"/>
      <c r="O55" s="212"/>
      <c r="P55" s="213"/>
      <c r="Q55" s="213"/>
      <c r="R55" s="215"/>
      <c r="S55" s="216"/>
      <c r="T55" s="216"/>
      <c r="U55" s="214"/>
      <c r="V55" s="214"/>
      <c r="W55" s="213"/>
      <c r="X55" s="213"/>
      <c r="Y55" s="217"/>
      <c r="Z55" s="218"/>
      <c r="AA55" s="219"/>
      <c r="AB55" s="215"/>
      <c r="AC55" s="220"/>
      <c r="AD55" s="221"/>
      <c r="AE55" s="222"/>
    </row>
  </sheetData>
  <sheetProtection formatCells="0" formatColumns="0" formatRows="0" insertColumns="0" insertRows="0" insertHyperlinks="0" deleteColumns="0" deleteRows="0" sort="0" autoFilter="0" pivotTables="0"/>
  <dataConsolidate/>
  <mergeCells count="40">
    <mergeCell ref="AV3:AY3"/>
    <mergeCell ref="AZ3:BC3"/>
    <mergeCell ref="AR3:AU3"/>
    <mergeCell ref="AF3:AI3"/>
    <mergeCell ref="AJ3:AM3"/>
    <mergeCell ref="AN3:AQ3"/>
    <mergeCell ref="AE3:AE4"/>
    <mergeCell ref="A3:A4"/>
    <mergeCell ref="B3:B4"/>
    <mergeCell ref="C3:C4"/>
    <mergeCell ref="D3:D4"/>
    <mergeCell ref="E3:N4"/>
    <mergeCell ref="T3:T4"/>
    <mergeCell ref="W3:W4"/>
    <mergeCell ref="U3:U4"/>
    <mergeCell ref="AD3:AD4"/>
    <mergeCell ref="AC3:AC4"/>
    <mergeCell ref="AB3:AB4"/>
    <mergeCell ref="V3:V4"/>
    <mergeCell ref="X3:X4"/>
    <mergeCell ref="Z3:Z4"/>
    <mergeCell ref="Y3:Y4"/>
    <mergeCell ref="AA3:AA4"/>
    <mergeCell ref="D2:F2"/>
    <mergeCell ref="O3:O4"/>
    <mergeCell ref="P3:P4"/>
    <mergeCell ref="Q3:Q4"/>
    <mergeCell ref="S3:S4"/>
    <mergeCell ref="R3:R4"/>
    <mergeCell ref="BD3:BG3"/>
    <mergeCell ref="BH3:BK3"/>
    <mergeCell ref="BL3:BO3"/>
    <mergeCell ref="BP3:BS3"/>
    <mergeCell ref="BT3:BW3"/>
    <mergeCell ref="CR3:CU3"/>
    <mergeCell ref="BX3:CA3"/>
    <mergeCell ref="CB3:CE3"/>
    <mergeCell ref="CF3:CI3"/>
    <mergeCell ref="CJ3:CM3"/>
    <mergeCell ref="CN3:CQ3"/>
  </mergeCells>
  <phoneticPr fontId="7" type="noConversion"/>
  <conditionalFormatting sqref="D5:AE45">
    <cfRule type="expression" dxfId="2" priority="2">
      <formula>($B5="G")</formula>
    </cfRule>
    <cfRule type="expression" dxfId="1" priority="1">
      <formula>($AE5=1)</formula>
    </cfRule>
  </conditionalFormatting>
  <hyperlinks>
    <hyperlink ref="AF1" r:id="rId1" display="http://xlworks.net/" xr:uid="{9B99132C-9AE5-416A-BB99-EC868D389654}"/>
  </hyperlinks>
  <pageMargins left="0.19685039370078741" right="0.23622047244094491" top="0.43307086614173229" bottom="0.23622047244094491" header="0.23622047244094491" footer="0.19685039370078741"/>
  <pageSetup paperSize="9" scale="47"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4"/>
  <cols>
    <col min="1" max="1" width="35.3984375" style="69" customWidth="1"/>
    <col min="2" max="2" width="13.19921875" style="67" customWidth="1"/>
    <col min="3" max="3" width="9.8984375" style="71" customWidth="1"/>
    <col min="4" max="4" width="31.3984375" style="71" customWidth="1"/>
    <col min="5" max="6" width="14.09765625" style="71" customWidth="1"/>
    <col min="7" max="7" width="28.3984375" style="71" customWidth="1"/>
    <col min="8" max="9" width="10" style="71"/>
    <col min="10" max="10" width="8.8984375" style="71" bestFit="1" customWidth="1"/>
    <col min="11" max="19" width="10" style="71"/>
    <col min="20" max="22" width="10" style="71" customWidth="1"/>
    <col min="23" max="23" width="10" style="71" hidden="1" customWidth="1"/>
    <col min="24" max="16384" width="10" style="71"/>
  </cols>
  <sheetData>
    <row r="1" spans="1:17" s="16" customFormat="1" ht="36.9" customHeight="1">
      <c r="A1" s="13" t="s">
        <v>1280</v>
      </c>
      <c r="B1" s="14"/>
      <c r="C1" s="14"/>
      <c r="D1" s="14"/>
      <c r="E1" s="14"/>
      <c r="F1" s="14"/>
      <c r="G1" s="14"/>
      <c r="H1" s="14"/>
      <c r="I1" s="14"/>
      <c r="J1" s="14"/>
      <c r="K1" s="14"/>
      <c r="L1" s="304"/>
      <c r="M1" s="305"/>
      <c r="N1" s="305"/>
      <c r="O1" s="15"/>
      <c r="P1" s="15"/>
      <c r="Q1" s="15"/>
    </row>
    <row r="2" spans="1:17" s="19" customFormat="1" ht="13.8">
      <c r="A2" s="17" t="s">
        <v>1117</v>
      </c>
      <c r="B2" s="18"/>
    </row>
    <row r="3" spans="1:17" s="19" customFormat="1" ht="13.8">
      <c r="A3" s="17" t="s">
        <v>1118</v>
      </c>
      <c r="B3" s="18"/>
    </row>
    <row r="4" spans="1:17" s="19" customFormat="1" ht="13.8">
      <c r="A4" s="306"/>
      <c r="B4" s="306"/>
      <c r="C4" s="20"/>
      <c r="D4" s="21"/>
      <c r="E4" s="21"/>
      <c r="F4" s="21"/>
    </row>
    <row r="5" spans="1:17" s="27" customFormat="1" ht="13.8">
      <c r="A5" s="22"/>
      <c r="B5" s="23"/>
      <c r="C5" s="24"/>
      <c r="D5" s="25"/>
      <c r="E5" s="26"/>
      <c r="F5" s="26"/>
      <c r="G5" s="26"/>
    </row>
    <row r="6" spans="1:17" s="27" customFormat="1" ht="13.8">
      <c r="A6" s="28" t="s">
        <v>1119</v>
      </c>
      <c r="B6" s="29">
        <v>1740</v>
      </c>
      <c r="C6" s="27" t="s">
        <v>0</v>
      </c>
      <c r="D6" s="303" t="s">
        <v>1120</v>
      </c>
      <c r="E6" s="303"/>
      <c r="F6" s="303"/>
      <c r="G6" s="303"/>
    </row>
    <row r="7" spans="1:17" s="27" customFormat="1" ht="13.8">
      <c r="A7" s="30"/>
      <c r="B7" s="31"/>
      <c r="C7" s="32"/>
      <c r="D7" s="33"/>
      <c r="E7" s="33"/>
      <c r="F7" s="33"/>
      <c r="G7" s="33"/>
    </row>
    <row r="8" spans="1:17" s="27" customFormat="1" ht="12.75" customHeight="1">
      <c r="A8" s="34"/>
      <c r="B8" s="35"/>
      <c r="D8" s="36"/>
      <c r="E8" s="36"/>
      <c r="F8" s="36"/>
      <c r="G8" s="36"/>
      <c r="J8" s="37"/>
    </row>
    <row r="9" spans="1:17" s="27" customFormat="1" ht="13.8">
      <c r="A9" s="28" t="s">
        <v>1121</v>
      </c>
      <c r="B9" s="29">
        <v>748</v>
      </c>
      <c r="C9" s="27" t="s">
        <v>0</v>
      </c>
      <c r="D9" s="302" t="s">
        <v>1122</v>
      </c>
      <c r="E9" s="302"/>
      <c r="F9" s="302"/>
      <c r="G9" s="302"/>
    </row>
    <row r="10" spans="1:17" s="27" customFormat="1" ht="13.8">
      <c r="A10" s="38"/>
      <c r="B10" s="31"/>
      <c r="C10" s="32"/>
      <c r="D10" s="39"/>
      <c r="E10" s="39"/>
      <c r="F10" s="39"/>
      <c r="G10" s="39"/>
    </row>
    <row r="11" spans="1:17" s="27" customFormat="1" ht="13.5" customHeight="1">
      <c r="A11" s="40"/>
      <c r="B11" s="35"/>
      <c r="D11" s="36"/>
      <c r="E11" s="36"/>
      <c r="F11" s="36"/>
      <c r="G11" s="36"/>
    </row>
    <row r="12" spans="1:17" s="27" customFormat="1" ht="12.75" customHeight="1">
      <c r="A12" s="41" t="s">
        <v>1272</v>
      </c>
      <c r="B12" s="29">
        <v>937.26</v>
      </c>
      <c r="C12" s="27" t="s">
        <v>0</v>
      </c>
      <c r="D12" s="307" t="s">
        <v>1275</v>
      </c>
      <c r="E12" s="302"/>
      <c r="F12" s="302"/>
      <c r="G12" s="302"/>
    </row>
    <row r="13" spans="1:17" s="44" customFormat="1" ht="13.8">
      <c r="A13" s="42"/>
      <c r="B13" s="31"/>
      <c r="C13" s="43"/>
      <c r="D13" s="39"/>
      <c r="E13" s="39"/>
      <c r="F13" s="39"/>
      <c r="G13" s="39"/>
      <c r="K13" s="45"/>
    </row>
    <row r="14" spans="1:17" s="44" customFormat="1" ht="14.25" customHeight="1">
      <c r="A14" s="40"/>
      <c r="B14" s="46"/>
      <c r="C14" s="47"/>
      <c r="D14" s="36"/>
      <c r="E14" s="36"/>
      <c r="F14" s="36"/>
      <c r="G14" s="36"/>
    </row>
    <row r="15" spans="1:17" s="27" customFormat="1" ht="12.75" customHeight="1">
      <c r="A15" s="41" t="s">
        <v>1277</v>
      </c>
      <c r="B15" s="29"/>
      <c r="C15" s="27" t="s">
        <v>0</v>
      </c>
      <c r="D15" s="302" t="s">
        <v>1123</v>
      </c>
      <c r="E15" s="302"/>
      <c r="F15" s="302"/>
      <c r="G15" s="302"/>
    </row>
    <row r="16" spans="1:17" s="27" customFormat="1" ht="13.8">
      <c r="A16" s="42"/>
      <c r="B16" s="48"/>
      <c r="C16" s="49"/>
      <c r="D16" s="39"/>
      <c r="E16" s="39"/>
      <c r="F16" s="39"/>
      <c r="G16" s="39"/>
    </row>
    <row r="17" spans="1:7" s="44" customFormat="1" ht="12.75" customHeight="1">
      <c r="A17" s="50"/>
      <c r="B17" s="46"/>
      <c r="C17" s="47"/>
      <c r="D17" s="36"/>
      <c r="E17" s="36"/>
      <c r="F17" s="36"/>
      <c r="G17" s="36"/>
    </row>
    <row r="18" spans="1:7" s="27" customFormat="1" ht="13.8">
      <c r="A18" s="28" t="s">
        <v>1124</v>
      </c>
      <c r="B18" s="51">
        <v>0.42988505747126438</v>
      </c>
      <c r="D18" s="302" t="s">
        <v>1125</v>
      </c>
      <c r="E18" s="302"/>
      <c r="F18" s="302"/>
      <c r="G18" s="302"/>
    </row>
    <row r="19" spans="1:7" s="27" customFormat="1" ht="13.8">
      <c r="A19" s="52"/>
      <c r="B19" s="48"/>
      <c r="C19" s="49"/>
      <c r="D19" s="39"/>
      <c r="E19" s="39"/>
      <c r="F19" s="39"/>
      <c r="G19" s="39"/>
    </row>
    <row r="20" spans="1:7" s="27" customFormat="1" ht="12.75" customHeight="1">
      <c r="A20" s="53"/>
      <c r="B20" s="23"/>
      <c r="C20" s="24"/>
      <c r="D20" s="36"/>
      <c r="E20" s="36"/>
      <c r="F20" s="36"/>
      <c r="G20" s="36"/>
    </row>
    <row r="21" spans="1:7" s="27" customFormat="1" ht="13.8">
      <c r="A21" s="28" t="s">
        <v>1126</v>
      </c>
      <c r="B21" s="51">
        <v>0.53865517241379313</v>
      </c>
      <c r="D21" s="302" t="s">
        <v>1127</v>
      </c>
      <c r="E21" s="302"/>
      <c r="F21" s="302"/>
      <c r="G21" s="302"/>
    </row>
    <row r="22" spans="1:7" s="27" customFormat="1" ht="13.8">
      <c r="A22" s="54"/>
      <c r="B22" s="55"/>
      <c r="C22" s="56"/>
      <c r="D22" s="39"/>
      <c r="E22" s="39"/>
      <c r="F22" s="39"/>
      <c r="G22" s="39"/>
    </row>
    <row r="23" spans="1:7" s="27" customFormat="1" ht="13.5" customHeight="1">
      <c r="A23" s="57"/>
      <c r="B23" s="58"/>
      <c r="C23" s="59"/>
      <c r="D23" s="60"/>
      <c r="E23" s="60"/>
      <c r="F23" s="60"/>
      <c r="G23" s="60"/>
    </row>
    <row r="24" spans="1:7" s="27" customFormat="1" ht="13.8">
      <c r="A24" s="28" t="s">
        <v>1128</v>
      </c>
      <c r="B24" s="61">
        <f>ACTUAL_RATE-PLANNED_RATE</f>
        <v>0.10877011494252875</v>
      </c>
      <c r="D24" s="303" t="s">
        <v>1129</v>
      </c>
      <c r="E24" s="303"/>
      <c r="F24" s="303"/>
      <c r="G24" s="303"/>
    </row>
    <row r="25" spans="1:7" s="27" customFormat="1" ht="13.8">
      <c r="A25" s="62"/>
      <c r="B25" s="63"/>
      <c r="C25" s="64"/>
      <c r="D25" s="65"/>
      <c r="E25" s="65"/>
      <c r="F25" s="65"/>
      <c r="G25" s="65"/>
    </row>
    <row r="26" spans="1:7" s="68" customFormat="1">
      <c r="A26" s="66"/>
      <c r="B26" s="67"/>
    </row>
    <row r="27" spans="1:7">
      <c r="B27" s="70"/>
      <c r="G27" s="69"/>
    </row>
    <row r="28" spans="1:7">
      <c r="B28" s="72"/>
    </row>
    <row r="29" spans="1:7">
      <c r="B29" s="72"/>
    </row>
    <row r="30" spans="1:7">
      <c r="B30" s="73"/>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29"/>
  <sheetViews>
    <sheetView showGridLines="0" zoomScale="90" zoomScaleNormal="90" workbookViewId="0">
      <pane ySplit="1" topLeftCell="A2" activePane="bottomLeft" state="frozen"/>
      <selection pane="bottomLeft"/>
    </sheetView>
  </sheetViews>
  <sheetFormatPr defaultColWidth="9.09765625" defaultRowHeight="14.4"/>
  <cols>
    <col min="1" max="1" width="1.59765625" style="202" customWidth="1"/>
    <col min="2" max="3" width="10.59765625" style="202" bestFit="1" customWidth="1"/>
    <col min="4" max="4" width="9.09765625" style="202"/>
    <col min="5" max="5" width="10.59765625" style="202" customWidth="1"/>
    <col min="6" max="6" width="9.09765625" style="202"/>
    <col min="7" max="12" width="9.09765625" style="165"/>
    <col min="13" max="16384" width="9.09765625" style="202"/>
  </cols>
  <sheetData>
    <row r="1" spans="2:12" ht="36.9" customHeight="1">
      <c r="B1" s="74" t="s">
        <v>1293</v>
      </c>
    </row>
    <row r="2" spans="2:12">
      <c r="B2" s="202" t="s">
        <v>1294</v>
      </c>
    </row>
    <row r="3" spans="2:12">
      <c r="B3" s="202" t="s">
        <v>1295</v>
      </c>
    </row>
    <row r="6" spans="2:12" ht="43.2">
      <c r="B6" s="75" t="s">
        <v>582</v>
      </c>
      <c r="C6" s="163" t="s">
        <v>583</v>
      </c>
      <c r="D6" s="163" t="s">
        <v>1284</v>
      </c>
      <c r="E6" s="163" t="s">
        <v>1285</v>
      </c>
      <c r="F6" s="163" t="s">
        <v>1286</v>
      </c>
      <c r="G6" s="203" t="s">
        <v>1287</v>
      </c>
      <c r="H6" s="203" t="s">
        <v>1288</v>
      </c>
      <c r="I6" s="203" t="s">
        <v>1289</v>
      </c>
      <c r="J6" s="203" t="s">
        <v>1290</v>
      </c>
      <c r="K6" s="203" t="s">
        <v>1291</v>
      </c>
      <c r="L6" s="204" t="s">
        <v>1292</v>
      </c>
    </row>
    <row r="7" spans="2:12">
      <c r="B7" s="187">
        <v>43696</v>
      </c>
      <c r="C7" s="187">
        <v>43701</v>
      </c>
      <c r="D7" s="188">
        <v>4</v>
      </c>
      <c r="E7" s="188">
        <f>D7</f>
        <v>4</v>
      </c>
      <c r="F7" s="205">
        <f t="shared" ref="F7:F28" si="0">E7/$D$29</f>
        <v>1.444043321299639E-2</v>
      </c>
      <c r="G7" s="189">
        <v>4</v>
      </c>
      <c r="H7" s="189">
        <f>G7</f>
        <v>4</v>
      </c>
      <c r="I7" s="205">
        <f t="shared" ref="I7:I12" si="1">H7/$D$29</f>
        <v>1.444043321299639E-2</v>
      </c>
      <c r="J7" s="189"/>
      <c r="K7" s="189">
        <f>J7</f>
        <v>0</v>
      </c>
      <c r="L7" s="205">
        <f t="shared" ref="L7:L12" si="2">K7/$D$29</f>
        <v>0</v>
      </c>
    </row>
    <row r="8" spans="2:12">
      <c r="B8" s="190">
        <v>43702</v>
      </c>
      <c r="C8" s="190">
        <v>43708</v>
      </c>
      <c r="D8" s="191">
        <v>13</v>
      </c>
      <c r="E8" s="191">
        <f t="shared" ref="E8:E28" si="3">E7+D8</f>
        <v>17</v>
      </c>
      <c r="F8" s="206">
        <f t="shared" si="0"/>
        <v>6.1371841155234655E-2</v>
      </c>
      <c r="G8" s="192">
        <v>11</v>
      </c>
      <c r="H8" s="192">
        <f>H7+G8</f>
        <v>15</v>
      </c>
      <c r="I8" s="206">
        <f t="shared" si="1"/>
        <v>5.4151624548736461E-2</v>
      </c>
      <c r="J8" s="192"/>
      <c r="K8" s="192">
        <f>K7+J8</f>
        <v>0</v>
      </c>
      <c r="L8" s="206">
        <f t="shared" si="2"/>
        <v>0</v>
      </c>
    </row>
    <row r="9" spans="2:12">
      <c r="B9" s="190">
        <v>43709</v>
      </c>
      <c r="C9" s="190">
        <v>43715</v>
      </c>
      <c r="D9" s="191">
        <v>15</v>
      </c>
      <c r="E9" s="191">
        <f t="shared" si="3"/>
        <v>32</v>
      </c>
      <c r="F9" s="206">
        <f t="shared" si="0"/>
        <v>0.11552346570397112</v>
      </c>
      <c r="G9" s="192">
        <v>11.6</v>
      </c>
      <c r="H9" s="192">
        <f>H8+G9</f>
        <v>26.6</v>
      </c>
      <c r="I9" s="206">
        <f t="shared" si="1"/>
        <v>9.6028880866425997E-2</v>
      </c>
      <c r="J9" s="192"/>
      <c r="K9" s="192">
        <f>K8+J9</f>
        <v>0</v>
      </c>
      <c r="L9" s="206">
        <f t="shared" si="2"/>
        <v>0</v>
      </c>
    </row>
    <row r="10" spans="2:12">
      <c r="B10" s="190">
        <v>43716</v>
      </c>
      <c r="C10" s="190">
        <v>43722</v>
      </c>
      <c r="D10" s="191">
        <v>6</v>
      </c>
      <c r="E10" s="191">
        <f t="shared" si="3"/>
        <v>38</v>
      </c>
      <c r="F10" s="206">
        <f t="shared" si="0"/>
        <v>0.13718411552346571</v>
      </c>
      <c r="G10" s="192">
        <v>6</v>
      </c>
      <c r="H10" s="192">
        <f>H9+G10</f>
        <v>32.6</v>
      </c>
      <c r="I10" s="206">
        <f t="shared" si="1"/>
        <v>0.11768953068592058</v>
      </c>
      <c r="J10" s="192"/>
      <c r="K10" s="192">
        <f>K9+J10</f>
        <v>0</v>
      </c>
      <c r="L10" s="206">
        <f t="shared" si="2"/>
        <v>0</v>
      </c>
    </row>
    <row r="11" spans="2:12">
      <c r="B11" s="190">
        <v>43723</v>
      </c>
      <c r="C11" s="190">
        <v>43729</v>
      </c>
      <c r="D11" s="191">
        <v>9</v>
      </c>
      <c r="E11" s="191">
        <f t="shared" si="3"/>
        <v>47</v>
      </c>
      <c r="F11" s="206">
        <f t="shared" si="0"/>
        <v>0.16967509025270758</v>
      </c>
      <c r="G11" s="192">
        <v>3</v>
      </c>
      <c r="H11" s="192">
        <f>H10+G11</f>
        <v>35.6</v>
      </c>
      <c r="I11" s="206">
        <f t="shared" si="1"/>
        <v>0.12851985559566786</v>
      </c>
      <c r="J11" s="192"/>
      <c r="K11" s="192">
        <f>K10+J11</f>
        <v>0</v>
      </c>
      <c r="L11" s="206">
        <f t="shared" si="2"/>
        <v>0</v>
      </c>
    </row>
    <row r="12" spans="2:12">
      <c r="B12" s="190">
        <v>43730</v>
      </c>
      <c r="C12" s="190">
        <v>43736</v>
      </c>
      <c r="D12" s="191">
        <v>14</v>
      </c>
      <c r="E12" s="191">
        <f t="shared" si="3"/>
        <v>61</v>
      </c>
      <c r="F12" s="206">
        <f t="shared" si="0"/>
        <v>0.22021660649819494</v>
      </c>
      <c r="G12" s="192">
        <v>0</v>
      </c>
      <c r="H12" s="192">
        <f>H11+G12</f>
        <v>35.6</v>
      </c>
      <c r="I12" s="206">
        <f t="shared" si="1"/>
        <v>0.12851985559566786</v>
      </c>
      <c r="J12" s="192"/>
      <c r="K12" s="192">
        <f>K11+J12</f>
        <v>0</v>
      </c>
      <c r="L12" s="206">
        <f t="shared" si="2"/>
        <v>0</v>
      </c>
    </row>
    <row r="13" spans="2:12">
      <c r="B13" s="190">
        <v>43737</v>
      </c>
      <c r="C13" s="190">
        <v>43743</v>
      </c>
      <c r="D13" s="191">
        <v>10</v>
      </c>
      <c r="E13" s="191">
        <f t="shared" si="3"/>
        <v>71</v>
      </c>
      <c r="F13" s="206">
        <f t="shared" si="0"/>
        <v>0.2563176895306859</v>
      </c>
      <c r="G13" s="192"/>
      <c r="H13" s="192"/>
      <c r="I13" s="192"/>
      <c r="J13" s="192"/>
      <c r="K13" s="192"/>
      <c r="L13" s="192"/>
    </row>
    <row r="14" spans="2:12">
      <c r="B14" s="190">
        <v>43744</v>
      </c>
      <c r="C14" s="190">
        <v>43750</v>
      </c>
      <c r="D14" s="191">
        <v>5</v>
      </c>
      <c r="E14" s="191">
        <f t="shared" si="3"/>
        <v>76</v>
      </c>
      <c r="F14" s="206">
        <f t="shared" si="0"/>
        <v>0.27436823104693142</v>
      </c>
      <c r="G14" s="192"/>
      <c r="H14" s="192"/>
      <c r="I14" s="192"/>
      <c r="J14" s="192"/>
      <c r="K14" s="192"/>
      <c r="L14" s="192"/>
    </row>
    <row r="15" spans="2:12">
      <c r="B15" s="190">
        <v>43751</v>
      </c>
      <c r="C15" s="190">
        <v>43757</v>
      </c>
      <c r="D15" s="191">
        <v>12</v>
      </c>
      <c r="E15" s="191">
        <f t="shared" si="3"/>
        <v>88</v>
      </c>
      <c r="F15" s="206">
        <f t="shared" si="0"/>
        <v>0.3176895306859206</v>
      </c>
      <c r="G15" s="192"/>
      <c r="H15" s="192"/>
      <c r="I15" s="192"/>
      <c r="J15" s="192"/>
      <c r="K15" s="192"/>
      <c r="L15" s="192"/>
    </row>
    <row r="16" spans="2:12">
      <c r="B16" s="190">
        <v>43758</v>
      </c>
      <c r="C16" s="190">
        <v>43764</v>
      </c>
      <c r="D16" s="191">
        <v>17</v>
      </c>
      <c r="E16" s="191">
        <f t="shared" si="3"/>
        <v>105</v>
      </c>
      <c r="F16" s="206">
        <f t="shared" si="0"/>
        <v>0.37906137184115524</v>
      </c>
      <c r="G16" s="192"/>
      <c r="H16" s="192"/>
      <c r="I16" s="192"/>
      <c r="J16" s="192"/>
      <c r="K16" s="192"/>
      <c r="L16" s="192"/>
    </row>
    <row r="17" spans="2:12">
      <c r="B17" s="190">
        <v>43765</v>
      </c>
      <c r="C17" s="190">
        <v>43771</v>
      </c>
      <c r="D17" s="191">
        <v>18</v>
      </c>
      <c r="E17" s="191">
        <f t="shared" si="3"/>
        <v>123</v>
      </c>
      <c r="F17" s="206">
        <f t="shared" si="0"/>
        <v>0.44404332129963897</v>
      </c>
      <c r="G17" s="192"/>
      <c r="H17" s="192"/>
      <c r="I17" s="192"/>
      <c r="J17" s="192"/>
      <c r="K17" s="192"/>
      <c r="L17" s="192"/>
    </row>
    <row r="18" spans="2:12">
      <c r="B18" s="190">
        <v>43772</v>
      </c>
      <c r="C18" s="190">
        <v>43778</v>
      </c>
      <c r="D18" s="191">
        <v>16</v>
      </c>
      <c r="E18" s="191">
        <f t="shared" si="3"/>
        <v>139</v>
      </c>
      <c r="F18" s="206">
        <f t="shared" si="0"/>
        <v>0.50180505415162457</v>
      </c>
      <c r="G18" s="192"/>
      <c r="H18" s="192"/>
      <c r="I18" s="192"/>
      <c r="J18" s="192"/>
      <c r="K18" s="192"/>
      <c r="L18" s="192"/>
    </row>
    <row r="19" spans="2:12">
      <c r="B19" s="190">
        <v>43779</v>
      </c>
      <c r="C19" s="190">
        <v>43785</v>
      </c>
      <c r="D19" s="191">
        <v>15</v>
      </c>
      <c r="E19" s="191">
        <f t="shared" si="3"/>
        <v>154</v>
      </c>
      <c r="F19" s="206">
        <f t="shared" si="0"/>
        <v>0.55595667870036103</v>
      </c>
      <c r="G19" s="192"/>
      <c r="H19" s="192"/>
      <c r="I19" s="192"/>
      <c r="J19" s="192"/>
      <c r="K19" s="192"/>
      <c r="L19" s="192"/>
    </row>
    <row r="20" spans="2:12">
      <c r="B20" s="190">
        <v>43786</v>
      </c>
      <c r="C20" s="190">
        <v>43792</v>
      </c>
      <c r="D20" s="191">
        <v>18</v>
      </c>
      <c r="E20" s="191">
        <f t="shared" si="3"/>
        <v>172</v>
      </c>
      <c r="F20" s="206">
        <f t="shared" si="0"/>
        <v>0.62093862815884482</v>
      </c>
      <c r="G20" s="192"/>
      <c r="H20" s="192"/>
      <c r="I20" s="192"/>
      <c r="J20" s="192"/>
      <c r="K20" s="192"/>
      <c r="L20" s="192"/>
    </row>
    <row r="21" spans="2:12">
      <c r="B21" s="190">
        <v>43793</v>
      </c>
      <c r="C21" s="190">
        <v>43799</v>
      </c>
      <c r="D21" s="191">
        <v>22</v>
      </c>
      <c r="E21" s="191">
        <f t="shared" si="3"/>
        <v>194</v>
      </c>
      <c r="F21" s="206">
        <f t="shared" si="0"/>
        <v>0.70036101083032487</v>
      </c>
      <c r="G21" s="192"/>
      <c r="H21" s="192"/>
      <c r="I21" s="192"/>
      <c r="J21" s="192"/>
      <c r="K21" s="192"/>
      <c r="L21" s="192"/>
    </row>
    <row r="22" spans="2:12">
      <c r="B22" s="190">
        <v>43800</v>
      </c>
      <c r="C22" s="190">
        <v>43806</v>
      </c>
      <c r="D22" s="191">
        <v>25</v>
      </c>
      <c r="E22" s="191">
        <f t="shared" si="3"/>
        <v>219</v>
      </c>
      <c r="F22" s="206">
        <f t="shared" si="0"/>
        <v>0.79061371841155237</v>
      </c>
      <c r="G22" s="192"/>
      <c r="H22" s="192"/>
      <c r="I22" s="192"/>
      <c r="J22" s="192"/>
      <c r="K22" s="192"/>
      <c r="L22" s="192"/>
    </row>
    <row r="23" spans="2:12">
      <c r="B23" s="190">
        <v>43807</v>
      </c>
      <c r="C23" s="190">
        <v>43813</v>
      </c>
      <c r="D23" s="191">
        <v>25</v>
      </c>
      <c r="E23" s="191">
        <f t="shared" si="3"/>
        <v>244</v>
      </c>
      <c r="F23" s="206">
        <f t="shared" si="0"/>
        <v>0.88086642599277976</v>
      </c>
      <c r="G23" s="192"/>
      <c r="H23" s="192"/>
      <c r="I23" s="192"/>
      <c r="J23" s="192"/>
      <c r="K23" s="192"/>
      <c r="L23" s="192"/>
    </row>
    <row r="24" spans="2:12">
      <c r="B24" s="190">
        <v>43814</v>
      </c>
      <c r="C24" s="190">
        <v>43820</v>
      </c>
      <c r="D24" s="191">
        <v>5</v>
      </c>
      <c r="E24" s="191">
        <f t="shared" si="3"/>
        <v>249</v>
      </c>
      <c r="F24" s="206">
        <f t="shared" si="0"/>
        <v>0.89891696750902528</v>
      </c>
      <c r="G24" s="192"/>
      <c r="H24" s="192"/>
      <c r="I24" s="192"/>
      <c r="J24" s="192"/>
      <c r="K24" s="192"/>
      <c r="L24" s="192"/>
    </row>
    <row r="25" spans="2:12">
      <c r="B25" s="190">
        <v>43821</v>
      </c>
      <c r="C25" s="190">
        <v>43827</v>
      </c>
      <c r="D25" s="191">
        <v>12</v>
      </c>
      <c r="E25" s="191">
        <f t="shared" si="3"/>
        <v>261</v>
      </c>
      <c r="F25" s="206">
        <f t="shared" si="0"/>
        <v>0.9422382671480144</v>
      </c>
      <c r="G25" s="192"/>
      <c r="H25" s="192"/>
      <c r="I25" s="192"/>
      <c r="J25" s="192"/>
      <c r="K25" s="192"/>
      <c r="L25" s="192"/>
    </row>
    <row r="26" spans="2:12">
      <c r="B26" s="190">
        <v>43828</v>
      </c>
      <c r="C26" s="190">
        <v>43834</v>
      </c>
      <c r="D26" s="191">
        <v>4</v>
      </c>
      <c r="E26" s="191">
        <f t="shared" si="3"/>
        <v>265</v>
      </c>
      <c r="F26" s="206">
        <f t="shared" si="0"/>
        <v>0.95667870036101088</v>
      </c>
      <c r="G26" s="192"/>
      <c r="H26" s="192"/>
      <c r="I26" s="192"/>
      <c r="J26" s="192"/>
      <c r="K26" s="192"/>
      <c r="L26" s="192"/>
    </row>
    <row r="27" spans="2:12">
      <c r="B27" s="190">
        <v>43835</v>
      </c>
      <c r="C27" s="190">
        <v>43841</v>
      </c>
      <c r="D27" s="191">
        <v>5</v>
      </c>
      <c r="E27" s="191">
        <f t="shared" si="3"/>
        <v>270</v>
      </c>
      <c r="F27" s="206">
        <f t="shared" si="0"/>
        <v>0.97472924187725629</v>
      </c>
      <c r="G27" s="192"/>
      <c r="H27" s="192"/>
      <c r="I27" s="192"/>
      <c r="J27" s="192"/>
      <c r="K27" s="192"/>
      <c r="L27" s="192"/>
    </row>
    <row r="28" spans="2:12">
      <c r="B28" s="190">
        <v>43842</v>
      </c>
      <c r="C28" s="190">
        <v>43848</v>
      </c>
      <c r="D28" s="191">
        <v>7</v>
      </c>
      <c r="E28" s="191">
        <f t="shared" si="3"/>
        <v>277</v>
      </c>
      <c r="F28" s="206">
        <f t="shared" si="0"/>
        <v>1</v>
      </c>
      <c r="G28" s="192"/>
      <c r="H28" s="192"/>
      <c r="I28" s="192"/>
      <c r="J28" s="192"/>
      <c r="K28" s="192"/>
      <c r="L28" s="192"/>
    </row>
    <row r="29" spans="2:12">
      <c r="C29" s="202" t="s">
        <v>1248</v>
      </c>
      <c r="D29" s="202">
        <f>SUM(D7:D28)</f>
        <v>277</v>
      </c>
      <c r="G29" s="165">
        <f>SUM(G7:G28)</f>
        <v>35.6</v>
      </c>
      <c r="J29" s="165">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E24" sqref="E24"/>
    </sheetView>
  </sheetViews>
  <sheetFormatPr defaultColWidth="10" defaultRowHeight="14.4"/>
  <cols>
    <col min="1" max="1" width="31.59765625" style="80" customWidth="1"/>
    <col min="2" max="2" width="14.5" style="80" customWidth="1"/>
    <col min="3" max="3" width="7.59765625" style="80" customWidth="1"/>
    <col min="4" max="4" width="21.5" style="80" customWidth="1"/>
    <col min="5" max="5" width="14.09765625" style="80" customWidth="1"/>
    <col min="6" max="6" width="10" style="80"/>
    <col min="7" max="7" width="24.19921875" style="80" customWidth="1"/>
    <col min="8" max="8" width="18.3984375" style="80" bestFit="1" customWidth="1"/>
    <col min="9" max="9" width="11.09765625" style="80" bestFit="1" customWidth="1"/>
    <col min="10" max="10" width="27.3984375" style="80" bestFit="1" customWidth="1"/>
    <col min="11" max="19" width="10" style="80"/>
    <col min="20" max="23" width="10" style="80" customWidth="1"/>
    <col min="24" max="16384" width="10" style="80"/>
  </cols>
  <sheetData>
    <row r="1" spans="1:9" s="76" customFormat="1" ht="36.9" customHeight="1">
      <c r="A1" s="13" t="s">
        <v>1147</v>
      </c>
      <c r="B1" s="13"/>
      <c r="C1" s="13"/>
      <c r="D1" s="13"/>
      <c r="E1" s="13"/>
      <c r="F1" s="13"/>
      <c r="G1" s="13"/>
      <c r="H1" s="13"/>
    </row>
    <row r="2" spans="1:9" s="77" customFormat="1" ht="78.75" customHeight="1">
      <c r="A2" s="308" t="s">
        <v>1148</v>
      </c>
      <c r="B2" s="308"/>
      <c r="C2" s="308"/>
      <c r="D2" s="308"/>
      <c r="E2" s="308"/>
      <c r="F2" s="308"/>
      <c r="G2" s="308"/>
      <c r="H2" s="308"/>
    </row>
    <row r="3" spans="1:9" s="77" customFormat="1" ht="24.75" customHeight="1">
      <c r="A3" s="309" t="s">
        <v>1149</v>
      </c>
      <c r="B3" s="309"/>
      <c r="D3" s="309" t="s">
        <v>1150</v>
      </c>
      <c r="E3" s="309"/>
      <c r="G3" s="309" t="s">
        <v>1151</v>
      </c>
      <c r="H3" s="309"/>
    </row>
    <row r="4" spans="1:9" s="79" customFormat="1" ht="19.5" customHeight="1">
      <c r="A4" s="78" t="s">
        <v>1152</v>
      </c>
      <c r="B4" s="78" t="s">
        <v>1153</v>
      </c>
      <c r="D4" s="78" t="s">
        <v>1152</v>
      </c>
      <c r="E4" s="78" t="s">
        <v>1153</v>
      </c>
      <c r="G4" s="78" t="s">
        <v>1152</v>
      </c>
      <c r="H4" s="78" t="s">
        <v>1153</v>
      </c>
    </row>
    <row r="5" spans="1:9" s="196" customFormat="1" ht="17.399999999999999">
      <c r="A5" s="194" t="s">
        <v>1251</v>
      </c>
      <c r="B5" s="195">
        <v>43466</v>
      </c>
      <c r="C5" s="196" t="str">
        <f t="shared" ref="C5:C68" si="0">IF(B5&gt;0,TEXT(B5,"(aaa)"),"")</f>
        <v>(화)</v>
      </c>
      <c r="D5" s="197"/>
      <c r="E5" s="198"/>
      <c r="F5" s="196" t="str">
        <f t="shared" ref="F5:F68" si="1">IF(E5&gt;0,TEXT(E5,"(aaa)"),"")</f>
        <v/>
      </c>
      <c r="G5" s="197"/>
      <c r="H5" s="198"/>
      <c r="I5" s="196" t="str">
        <f t="shared" ref="I5:I68" si="2">IF(H5&gt;0,TEXT(H5,"(aaa)"),"")</f>
        <v/>
      </c>
    </row>
    <row r="6" spans="1:9" s="196" customFormat="1" ht="17.399999999999999">
      <c r="A6" s="194" t="s">
        <v>1252</v>
      </c>
      <c r="B6" s="195">
        <v>43500</v>
      </c>
      <c r="C6" s="196" t="str">
        <f t="shared" si="0"/>
        <v>(월)</v>
      </c>
      <c r="D6" s="197"/>
      <c r="E6" s="198"/>
      <c r="F6" s="196" t="str">
        <f t="shared" si="1"/>
        <v/>
      </c>
      <c r="G6" s="197"/>
      <c r="H6" s="198"/>
      <c r="I6" s="196" t="str">
        <f t="shared" si="2"/>
        <v/>
      </c>
    </row>
    <row r="7" spans="1:9" s="196" customFormat="1" ht="17.399999999999999">
      <c r="A7" s="194" t="s">
        <v>1253</v>
      </c>
      <c r="B7" s="195">
        <v>43501</v>
      </c>
      <c r="C7" s="196" t="str">
        <f t="shared" si="0"/>
        <v>(화)</v>
      </c>
      <c r="D7" s="197"/>
      <c r="E7" s="198"/>
      <c r="F7" s="196" t="str">
        <f t="shared" si="1"/>
        <v/>
      </c>
      <c r="G7" s="197"/>
      <c r="H7" s="198"/>
      <c r="I7" s="196" t="str">
        <f t="shared" si="2"/>
        <v/>
      </c>
    </row>
    <row r="8" spans="1:9" s="196" customFormat="1" ht="17.399999999999999">
      <c r="A8" s="194" t="s">
        <v>1252</v>
      </c>
      <c r="B8" s="195">
        <v>43502</v>
      </c>
      <c r="C8" s="196" t="str">
        <f t="shared" si="0"/>
        <v>(수)</v>
      </c>
      <c r="D8" s="197"/>
      <c r="E8" s="198"/>
      <c r="F8" s="196" t="str">
        <f t="shared" si="1"/>
        <v/>
      </c>
      <c r="G8" s="197"/>
      <c r="H8" s="198"/>
      <c r="I8" s="196" t="str">
        <f t="shared" si="2"/>
        <v/>
      </c>
    </row>
    <row r="9" spans="1:9" s="196" customFormat="1" ht="17.399999999999999">
      <c r="A9" s="194" t="s">
        <v>1254</v>
      </c>
      <c r="B9" s="195">
        <v>43525</v>
      </c>
      <c r="C9" s="196" t="str">
        <f t="shared" si="0"/>
        <v>(금)</v>
      </c>
      <c r="D9" s="197"/>
      <c r="E9" s="198"/>
      <c r="F9" s="196" t="str">
        <f t="shared" si="1"/>
        <v/>
      </c>
      <c r="G9" s="197"/>
      <c r="H9" s="198"/>
      <c r="I9" s="196" t="str">
        <f t="shared" si="2"/>
        <v/>
      </c>
    </row>
    <row r="10" spans="1:9" s="196" customFormat="1" ht="17.399999999999999">
      <c r="A10" s="194" t="s">
        <v>1255</v>
      </c>
      <c r="B10" s="195">
        <v>43591</v>
      </c>
      <c r="C10" s="196" t="str">
        <f t="shared" si="0"/>
        <v>(월)</v>
      </c>
      <c r="D10" s="197"/>
      <c r="E10" s="198"/>
      <c r="F10" s="196" t="str">
        <f t="shared" si="1"/>
        <v/>
      </c>
      <c r="G10" s="197"/>
      <c r="H10" s="198"/>
      <c r="I10" s="196" t="str">
        <f t="shared" si="2"/>
        <v/>
      </c>
    </row>
    <row r="11" spans="1:9" s="196" customFormat="1" ht="17.399999999999999">
      <c r="A11" s="194" t="s">
        <v>1256</v>
      </c>
      <c r="B11" s="195">
        <v>43622</v>
      </c>
      <c r="C11" s="196" t="str">
        <f t="shared" si="0"/>
        <v>(목)</v>
      </c>
      <c r="D11" s="197"/>
      <c r="E11" s="198"/>
      <c r="F11" s="196" t="str">
        <f t="shared" si="1"/>
        <v/>
      </c>
      <c r="G11" s="197"/>
      <c r="H11" s="198"/>
      <c r="I11" s="196" t="str">
        <f t="shared" si="2"/>
        <v/>
      </c>
    </row>
    <row r="12" spans="1:9" s="196" customFormat="1" ht="17.399999999999999">
      <c r="A12" s="194" t="s">
        <v>1257</v>
      </c>
      <c r="B12" s="195">
        <v>43692</v>
      </c>
      <c r="C12" s="196" t="str">
        <f t="shared" si="0"/>
        <v>(목)</v>
      </c>
      <c r="D12" s="197"/>
      <c r="E12" s="198"/>
      <c r="F12" s="196" t="str">
        <f t="shared" si="1"/>
        <v/>
      </c>
      <c r="G12" s="197"/>
      <c r="H12" s="198"/>
      <c r="I12" s="196" t="str">
        <f t="shared" si="2"/>
        <v/>
      </c>
    </row>
    <row r="13" spans="1:9" s="196" customFormat="1" ht="17.399999999999999">
      <c r="A13" s="194" t="s">
        <v>1258</v>
      </c>
      <c r="B13" s="195">
        <v>43720</v>
      </c>
      <c r="C13" s="196" t="str">
        <f t="shared" si="0"/>
        <v>(목)</v>
      </c>
      <c r="D13" s="197"/>
      <c r="E13" s="198"/>
      <c r="F13" s="196" t="str">
        <f t="shared" si="1"/>
        <v/>
      </c>
      <c r="G13" s="197"/>
      <c r="H13" s="198"/>
      <c r="I13" s="196" t="str">
        <f t="shared" si="2"/>
        <v/>
      </c>
    </row>
    <row r="14" spans="1:9" s="196" customFormat="1" ht="17.399999999999999">
      <c r="A14" s="194" t="s">
        <v>1259</v>
      </c>
      <c r="B14" s="195">
        <v>43721</v>
      </c>
      <c r="C14" s="196" t="str">
        <f t="shared" si="0"/>
        <v>(금)</v>
      </c>
      <c r="D14" s="197"/>
      <c r="E14" s="198"/>
      <c r="F14" s="196" t="str">
        <f t="shared" si="1"/>
        <v/>
      </c>
      <c r="G14" s="197"/>
      <c r="H14" s="198"/>
      <c r="I14" s="196" t="str">
        <f t="shared" si="2"/>
        <v/>
      </c>
    </row>
    <row r="15" spans="1:9" s="196" customFormat="1" ht="17.399999999999999">
      <c r="A15" s="194" t="s">
        <v>1260</v>
      </c>
      <c r="B15" s="195">
        <v>43741</v>
      </c>
      <c r="C15" s="196" t="str">
        <f t="shared" si="0"/>
        <v>(목)</v>
      </c>
      <c r="D15" s="197"/>
      <c r="E15" s="198"/>
      <c r="F15" s="196" t="str">
        <f t="shared" si="1"/>
        <v/>
      </c>
      <c r="G15" s="197"/>
      <c r="H15" s="198"/>
      <c r="I15" s="196" t="str">
        <f t="shared" si="2"/>
        <v/>
      </c>
    </row>
    <row r="16" spans="1:9" s="196" customFormat="1" ht="17.399999999999999">
      <c r="A16" s="194" t="s">
        <v>1261</v>
      </c>
      <c r="B16" s="195">
        <v>43747</v>
      </c>
      <c r="C16" s="196" t="str">
        <f t="shared" si="0"/>
        <v>(수)</v>
      </c>
      <c r="D16" s="197"/>
      <c r="E16" s="198"/>
      <c r="F16" s="196" t="str">
        <f t="shared" si="1"/>
        <v/>
      </c>
      <c r="G16" s="197"/>
      <c r="H16" s="198"/>
      <c r="I16" s="196" t="str">
        <f t="shared" si="2"/>
        <v/>
      </c>
    </row>
    <row r="17" spans="1:10" s="196" customFormat="1" ht="17.399999999999999">
      <c r="A17" s="194" t="s">
        <v>1262</v>
      </c>
      <c r="B17" s="195">
        <v>43824</v>
      </c>
      <c r="C17" s="196" t="str">
        <f t="shared" si="0"/>
        <v>(수)</v>
      </c>
      <c r="D17" s="197"/>
      <c r="E17" s="198"/>
      <c r="F17" s="196" t="str">
        <f t="shared" si="1"/>
        <v/>
      </c>
      <c r="G17" s="197"/>
      <c r="H17" s="198"/>
      <c r="I17" s="196" t="str">
        <f t="shared" si="2"/>
        <v/>
      </c>
    </row>
    <row r="18" spans="1:10" s="196" customFormat="1" ht="17.399999999999999">
      <c r="A18" s="194" t="s">
        <v>1249</v>
      </c>
      <c r="B18" s="195">
        <v>43831</v>
      </c>
      <c r="C18" s="196" t="str">
        <f t="shared" si="0"/>
        <v>(수)</v>
      </c>
      <c r="D18" s="197"/>
      <c r="E18" s="198"/>
      <c r="F18" s="196" t="str">
        <f t="shared" si="1"/>
        <v/>
      </c>
      <c r="G18" s="197"/>
      <c r="H18" s="198"/>
      <c r="I18" s="196" t="str">
        <f t="shared" si="2"/>
        <v/>
      </c>
    </row>
    <row r="19" spans="1:10" s="196" customFormat="1" ht="19.2">
      <c r="A19" s="194" t="s">
        <v>1250</v>
      </c>
      <c r="B19" s="195">
        <v>43854</v>
      </c>
      <c r="C19" s="196" t="str">
        <f t="shared" si="0"/>
        <v>(금)</v>
      </c>
      <c r="D19" s="197"/>
      <c r="E19" s="198"/>
      <c r="F19" s="196" t="str">
        <f t="shared" si="1"/>
        <v/>
      </c>
      <c r="G19" s="197"/>
      <c r="H19" s="198"/>
      <c r="I19" s="196" t="str">
        <f t="shared" si="2"/>
        <v/>
      </c>
      <c r="J19" s="199"/>
    </row>
    <row r="20" spans="1:10" s="196" customFormat="1" ht="19.2">
      <c r="A20" s="194" t="s">
        <v>1263</v>
      </c>
      <c r="B20" s="195">
        <v>43857</v>
      </c>
      <c r="C20" s="196" t="str">
        <f t="shared" si="0"/>
        <v>(월)</v>
      </c>
      <c r="D20" s="197"/>
      <c r="E20" s="198"/>
      <c r="F20" s="196" t="str">
        <f t="shared" si="1"/>
        <v/>
      </c>
      <c r="G20" s="197"/>
      <c r="H20" s="198"/>
      <c r="I20" s="196" t="str">
        <f t="shared" si="2"/>
        <v/>
      </c>
      <c r="J20" s="199"/>
    </row>
    <row r="21" spans="1:10" s="196" customFormat="1" ht="17.399999999999999">
      <c r="A21" s="194" t="s">
        <v>1264</v>
      </c>
      <c r="B21" s="195">
        <v>43936</v>
      </c>
      <c r="C21" s="196" t="str">
        <f t="shared" si="0"/>
        <v>(수)</v>
      </c>
      <c r="D21" s="197"/>
      <c r="E21" s="198"/>
      <c r="F21" s="196" t="str">
        <f t="shared" si="1"/>
        <v/>
      </c>
      <c r="G21" s="197"/>
      <c r="H21" s="198"/>
      <c r="I21" s="196" t="str">
        <f t="shared" si="2"/>
        <v/>
      </c>
    </row>
    <row r="22" spans="1:10" s="196" customFormat="1" ht="17.399999999999999">
      <c r="A22" s="194" t="s">
        <v>1265</v>
      </c>
      <c r="B22" s="195">
        <v>43951</v>
      </c>
      <c r="C22" s="196" t="str">
        <f t="shared" si="0"/>
        <v>(목)</v>
      </c>
      <c r="D22" s="197"/>
      <c r="E22" s="198"/>
      <c r="F22" s="196" t="str">
        <f t="shared" si="1"/>
        <v/>
      </c>
      <c r="G22" s="197"/>
      <c r="H22" s="198"/>
      <c r="I22" s="196" t="str">
        <f t="shared" si="2"/>
        <v/>
      </c>
    </row>
    <row r="23" spans="1:10" s="196" customFormat="1" ht="17.399999999999999">
      <c r="A23" s="194" t="s">
        <v>1266</v>
      </c>
      <c r="B23" s="195">
        <v>43956</v>
      </c>
      <c r="C23" s="196" t="str">
        <f t="shared" si="0"/>
        <v>(화)</v>
      </c>
      <c r="D23" s="197"/>
      <c r="E23" s="198"/>
      <c r="F23" s="196" t="str">
        <f t="shared" si="1"/>
        <v/>
      </c>
      <c r="G23" s="197"/>
      <c r="H23" s="198"/>
      <c r="I23" s="196" t="str">
        <f t="shared" si="2"/>
        <v/>
      </c>
    </row>
    <row r="24" spans="1:10" s="196" customFormat="1" ht="17.399999999999999">
      <c r="A24" s="194" t="s">
        <v>1268</v>
      </c>
      <c r="B24" s="195">
        <v>44104</v>
      </c>
      <c r="C24" s="196" t="str">
        <f t="shared" si="0"/>
        <v>(수)</v>
      </c>
      <c r="D24" s="197"/>
      <c r="E24" s="198"/>
      <c r="F24" s="196" t="str">
        <f t="shared" si="1"/>
        <v/>
      </c>
      <c r="G24" s="197"/>
      <c r="H24" s="198"/>
      <c r="I24" s="196" t="str">
        <f t="shared" si="2"/>
        <v/>
      </c>
    </row>
    <row r="25" spans="1:10" s="196" customFormat="1" ht="17.399999999999999">
      <c r="A25" s="194" t="s">
        <v>1269</v>
      </c>
      <c r="B25" s="195">
        <v>44105</v>
      </c>
      <c r="C25" s="196" t="str">
        <f t="shared" si="0"/>
        <v>(목)</v>
      </c>
      <c r="D25" s="197"/>
      <c r="E25" s="198"/>
      <c r="F25" s="196" t="str">
        <f t="shared" si="1"/>
        <v/>
      </c>
      <c r="G25" s="197"/>
      <c r="H25" s="198"/>
      <c r="I25" s="196" t="str">
        <f t="shared" si="2"/>
        <v/>
      </c>
    </row>
    <row r="26" spans="1:10" s="196" customFormat="1" ht="17.399999999999999">
      <c r="A26" s="194" t="s">
        <v>1268</v>
      </c>
      <c r="B26" s="195">
        <v>44106</v>
      </c>
      <c r="C26" s="196" t="str">
        <f t="shared" si="0"/>
        <v>(금)</v>
      </c>
      <c r="D26" s="197"/>
      <c r="E26" s="198"/>
      <c r="F26" s="196" t="str">
        <f t="shared" si="1"/>
        <v/>
      </c>
      <c r="G26" s="197"/>
      <c r="H26" s="198"/>
      <c r="I26" s="196" t="str">
        <f t="shared" si="2"/>
        <v/>
      </c>
    </row>
    <row r="27" spans="1:10" s="196" customFormat="1" ht="17.399999999999999">
      <c r="A27" s="194" t="s">
        <v>1270</v>
      </c>
      <c r="B27" s="195">
        <v>44113</v>
      </c>
      <c r="C27" s="196" t="str">
        <f t="shared" si="0"/>
        <v>(금)</v>
      </c>
      <c r="D27" s="197"/>
      <c r="E27" s="198"/>
      <c r="F27" s="196" t="str">
        <f t="shared" si="1"/>
        <v/>
      </c>
      <c r="G27" s="197"/>
      <c r="H27" s="198"/>
      <c r="I27" s="196" t="str">
        <f t="shared" si="2"/>
        <v/>
      </c>
    </row>
    <row r="28" spans="1:10" s="196" customFormat="1" ht="17.399999999999999">
      <c r="A28" s="194" t="s">
        <v>1271</v>
      </c>
      <c r="B28" s="195">
        <v>44190</v>
      </c>
      <c r="C28" s="196" t="str">
        <f t="shared" si="0"/>
        <v>(금)</v>
      </c>
      <c r="D28" s="197"/>
      <c r="E28" s="198"/>
      <c r="F28" s="196" t="str">
        <f t="shared" si="1"/>
        <v/>
      </c>
      <c r="G28" s="197"/>
      <c r="H28" s="198"/>
      <c r="I28" s="196" t="str">
        <f t="shared" si="2"/>
        <v/>
      </c>
    </row>
    <row r="29" spans="1:10" s="196" customFormat="1" ht="17.399999999999999">
      <c r="A29" s="194"/>
      <c r="B29" s="195"/>
      <c r="C29" s="196" t="str">
        <f t="shared" si="0"/>
        <v/>
      </c>
      <c r="D29" s="197"/>
      <c r="E29" s="198"/>
      <c r="F29" s="196" t="str">
        <f t="shared" si="1"/>
        <v/>
      </c>
      <c r="G29" s="197"/>
      <c r="H29" s="198"/>
      <c r="I29" s="196" t="str">
        <f t="shared" si="2"/>
        <v/>
      </c>
    </row>
    <row r="30" spans="1:10" s="196" customFormat="1" ht="17.399999999999999">
      <c r="A30" s="194"/>
      <c r="B30" s="195"/>
      <c r="C30" s="196" t="str">
        <f t="shared" si="0"/>
        <v/>
      </c>
      <c r="D30" s="197"/>
      <c r="E30" s="198"/>
      <c r="F30" s="196" t="str">
        <f t="shared" si="1"/>
        <v/>
      </c>
      <c r="G30" s="197"/>
      <c r="H30" s="198"/>
      <c r="I30" s="196" t="str">
        <f t="shared" si="2"/>
        <v/>
      </c>
    </row>
    <row r="31" spans="1:10" s="196" customFormat="1" ht="17.399999999999999">
      <c r="A31" s="194"/>
      <c r="B31" s="195"/>
      <c r="C31" s="196" t="str">
        <f t="shared" si="0"/>
        <v/>
      </c>
      <c r="D31" s="197"/>
      <c r="E31" s="198"/>
      <c r="F31" s="196" t="str">
        <f t="shared" si="1"/>
        <v/>
      </c>
      <c r="G31" s="197"/>
      <c r="H31" s="198"/>
      <c r="I31" s="196" t="str">
        <f t="shared" si="2"/>
        <v/>
      </c>
    </row>
    <row r="32" spans="1:10" s="196" customFormat="1" ht="17.399999999999999">
      <c r="A32" s="194"/>
      <c r="B32" s="195"/>
      <c r="C32" s="196" t="str">
        <f t="shared" si="0"/>
        <v/>
      </c>
      <c r="D32" s="197"/>
      <c r="E32" s="198"/>
      <c r="F32" s="196" t="str">
        <f t="shared" si="1"/>
        <v/>
      </c>
      <c r="G32" s="197"/>
      <c r="H32" s="198"/>
      <c r="I32" s="196" t="str">
        <f t="shared" si="2"/>
        <v/>
      </c>
    </row>
    <row r="33" spans="1:9" s="196" customFormat="1" ht="17.399999999999999">
      <c r="A33" s="194"/>
      <c r="B33" s="195"/>
      <c r="C33" s="196" t="str">
        <f t="shared" si="0"/>
        <v/>
      </c>
      <c r="D33" s="197"/>
      <c r="E33" s="198"/>
      <c r="F33" s="196" t="str">
        <f t="shared" si="1"/>
        <v/>
      </c>
      <c r="G33" s="197"/>
      <c r="H33" s="198"/>
      <c r="I33" s="196" t="str">
        <f t="shared" si="2"/>
        <v/>
      </c>
    </row>
    <row r="34" spans="1:9" s="196" customFormat="1" ht="17.399999999999999">
      <c r="A34" s="194"/>
      <c r="B34" s="195"/>
      <c r="C34" s="196" t="str">
        <f t="shared" si="0"/>
        <v/>
      </c>
      <c r="D34" s="197"/>
      <c r="E34" s="198"/>
      <c r="F34" s="196" t="str">
        <f t="shared" si="1"/>
        <v/>
      </c>
      <c r="G34" s="197"/>
      <c r="H34" s="198"/>
      <c r="I34" s="196" t="str">
        <f t="shared" si="2"/>
        <v/>
      </c>
    </row>
    <row r="35" spans="1:9" s="196" customFormat="1" ht="17.399999999999999">
      <c r="A35" s="194"/>
      <c r="B35" s="195"/>
      <c r="C35" s="196" t="str">
        <f t="shared" si="0"/>
        <v/>
      </c>
      <c r="D35" s="197"/>
      <c r="E35" s="198"/>
      <c r="F35" s="196" t="str">
        <f t="shared" si="1"/>
        <v/>
      </c>
      <c r="G35" s="197"/>
      <c r="H35" s="198"/>
      <c r="I35" s="196" t="str">
        <f t="shared" si="2"/>
        <v/>
      </c>
    </row>
    <row r="36" spans="1:9" s="196" customFormat="1" ht="17.399999999999999">
      <c r="A36" s="194"/>
      <c r="B36" s="195"/>
      <c r="C36" s="196" t="str">
        <f t="shared" si="0"/>
        <v/>
      </c>
      <c r="D36" s="197"/>
      <c r="E36" s="198"/>
      <c r="F36" s="196" t="str">
        <f t="shared" si="1"/>
        <v/>
      </c>
      <c r="G36" s="197"/>
      <c r="H36" s="198"/>
      <c r="I36" s="196" t="str">
        <f t="shared" si="2"/>
        <v/>
      </c>
    </row>
    <row r="37" spans="1:9" s="196" customFormat="1" ht="17.399999999999999">
      <c r="A37" s="194"/>
      <c r="B37" s="195"/>
      <c r="C37" s="196" t="str">
        <f t="shared" si="0"/>
        <v/>
      </c>
      <c r="D37" s="197"/>
      <c r="E37" s="198"/>
      <c r="F37" s="196" t="str">
        <f t="shared" si="1"/>
        <v/>
      </c>
      <c r="G37" s="197"/>
      <c r="H37" s="198"/>
      <c r="I37" s="196" t="str">
        <f t="shared" si="2"/>
        <v/>
      </c>
    </row>
    <row r="38" spans="1:9" s="196" customFormat="1" ht="17.399999999999999">
      <c r="A38" s="194"/>
      <c r="B38" s="195"/>
      <c r="C38" s="196" t="str">
        <f t="shared" si="0"/>
        <v/>
      </c>
      <c r="D38" s="197"/>
      <c r="E38" s="198"/>
      <c r="F38" s="196" t="str">
        <f t="shared" si="1"/>
        <v/>
      </c>
      <c r="G38" s="197"/>
      <c r="H38" s="198"/>
      <c r="I38" s="196" t="str">
        <f t="shared" si="2"/>
        <v/>
      </c>
    </row>
    <row r="39" spans="1:9" s="196" customFormat="1" ht="17.399999999999999">
      <c r="A39" s="194"/>
      <c r="B39" s="195"/>
      <c r="C39" s="196" t="str">
        <f t="shared" si="0"/>
        <v/>
      </c>
      <c r="D39" s="197"/>
      <c r="E39" s="198"/>
      <c r="F39" s="196" t="str">
        <f t="shared" si="1"/>
        <v/>
      </c>
      <c r="G39" s="197"/>
      <c r="H39" s="198"/>
      <c r="I39" s="196" t="str">
        <f t="shared" si="2"/>
        <v/>
      </c>
    </row>
    <row r="40" spans="1:9" s="196" customFormat="1" ht="17.399999999999999">
      <c r="A40" s="194"/>
      <c r="B40" s="195"/>
      <c r="C40" s="196" t="str">
        <f t="shared" si="0"/>
        <v/>
      </c>
      <c r="D40" s="197"/>
      <c r="E40" s="198"/>
      <c r="F40" s="196" t="str">
        <f t="shared" si="1"/>
        <v/>
      </c>
      <c r="G40" s="197"/>
      <c r="H40" s="198"/>
      <c r="I40" s="196" t="str">
        <f t="shared" si="2"/>
        <v/>
      </c>
    </row>
    <row r="41" spans="1:9" s="196" customFormat="1" ht="17.399999999999999">
      <c r="A41" s="194"/>
      <c r="B41" s="195"/>
      <c r="C41" s="196" t="str">
        <f t="shared" si="0"/>
        <v/>
      </c>
      <c r="D41" s="197"/>
      <c r="E41" s="198"/>
      <c r="F41" s="196" t="str">
        <f t="shared" si="1"/>
        <v/>
      </c>
      <c r="G41" s="197"/>
      <c r="H41" s="198"/>
      <c r="I41" s="196" t="str">
        <f t="shared" si="2"/>
        <v/>
      </c>
    </row>
    <row r="42" spans="1:9" s="196" customFormat="1" ht="17.399999999999999">
      <c r="A42" s="194"/>
      <c r="B42" s="195"/>
      <c r="C42" s="196" t="str">
        <f t="shared" si="0"/>
        <v/>
      </c>
      <c r="D42" s="197"/>
      <c r="E42" s="198"/>
      <c r="F42" s="196" t="str">
        <f t="shared" si="1"/>
        <v/>
      </c>
      <c r="G42" s="197"/>
      <c r="H42" s="198"/>
      <c r="I42" s="196" t="str">
        <f t="shared" si="2"/>
        <v/>
      </c>
    </row>
    <row r="43" spans="1:9" s="196" customFormat="1" ht="17.399999999999999">
      <c r="A43" s="194"/>
      <c r="B43" s="195"/>
      <c r="C43" s="196" t="str">
        <f t="shared" si="0"/>
        <v/>
      </c>
      <c r="D43" s="197"/>
      <c r="E43" s="198"/>
      <c r="F43" s="196" t="str">
        <f t="shared" si="1"/>
        <v/>
      </c>
      <c r="G43" s="197"/>
      <c r="H43" s="198"/>
      <c r="I43" s="196" t="str">
        <f t="shared" si="2"/>
        <v/>
      </c>
    </row>
    <row r="44" spans="1:9" s="196" customFormat="1" ht="17.399999999999999">
      <c r="A44" s="194"/>
      <c r="B44" s="195"/>
      <c r="C44" s="196" t="str">
        <f t="shared" si="0"/>
        <v/>
      </c>
      <c r="D44" s="197"/>
      <c r="E44" s="198"/>
      <c r="F44" s="196" t="str">
        <f t="shared" si="1"/>
        <v/>
      </c>
      <c r="G44" s="197"/>
      <c r="H44" s="198"/>
      <c r="I44" s="196" t="str">
        <f t="shared" si="2"/>
        <v/>
      </c>
    </row>
    <row r="45" spans="1:9" s="196" customFormat="1" ht="17.399999999999999">
      <c r="A45" s="194"/>
      <c r="B45" s="195"/>
      <c r="C45" s="196" t="str">
        <f t="shared" si="0"/>
        <v/>
      </c>
      <c r="D45" s="197"/>
      <c r="E45" s="198"/>
      <c r="F45" s="196" t="str">
        <f t="shared" si="1"/>
        <v/>
      </c>
      <c r="G45" s="197"/>
      <c r="H45" s="198"/>
      <c r="I45" s="196" t="str">
        <f t="shared" si="2"/>
        <v/>
      </c>
    </row>
    <row r="46" spans="1:9" s="196" customFormat="1" ht="17.399999999999999">
      <c r="A46" s="194"/>
      <c r="B46" s="195"/>
      <c r="C46" s="196" t="str">
        <f t="shared" si="0"/>
        <v/>
      </c>
      <c r="D46" s="197"/>
      <c r="E46" s="198"/>
      <c r="F46" s="196" t="str">
        <f t="shared" si="1"/>
        <v/>
      </c>
      <c r="G46" s="197"/>
      <c r="H46" s="198"/>
      <c r="I46" s="196" t="str">
        <f t="shared" si="2"/>
        <v/>
      </c>
    </row>
    <row r="47" spans="1:9" s="196" customFormat="1" ht="17.399999999999999">
      <c r="A47" s="194"/>
      <c r="B47" s="195"/>
      <c r="C47" s="196" t="str">
        <f t="shared" si="0"/>
        <v/>
      </c>
      <c r="D47" s="197"/>
      <c r="E47" s="198"/>
      <c r="F47" s="196" t="str">
        <f t="shared" si="1"/>
        <v/>
      </c>
      <c r="G47" s="197"/>
      <c r="H47" s="198"/>
      <c r="I47" s="196" t="str">
        <f t="shared" si="2"/>
        <v/>
      </c>
    </row>
    <row r="48" spans="1:9" s="196" customFormat="1" ht="17.399999999999999">
      <c r="A48" s="194"/>
      <c r="B48" s="195"/>
      <c r="C48" s="196" t="str">
        <f t="shared" si="0"/>
        <v/>
      </c>
      <c r="D48" s="197"/>
      <c r="E48" s="198"/>
      <c r="F48" s="196" t="str">
        <f t="shared" si="1"/>
        <v/>
      </c>
      <c r="G48" s="197"/>
      <c r="H48" s="198"/>
      <c r="I48" s="196" t="str">
        <f t="shared" si="2"/>
        <v/>
      </c>
    </row>
    <row r="49" spans="1:9" s="196" customFormat="1" ht="17.399999999999999">
      <c r="A49" s="194"/>
      <c r="B49" s="195"/>
      <c r="C49" s="196" t="str">
        <f t="shared" si="0"/>
        <v/>
      </c>
      <c r="D49" s="197"/>
      <c r="E49" s="198"/>
      <c r="F49" s="196" t="str">
        <f t="shared" si="1"/>
        <v/>
      </c>
      <c r="G49" s="197"/>
      <c r="H49" s="198"/>
      <c r="I49" s="196" t="str">
        <f t="shared" si="2"/>
        <v/>
      </c>
    </row>
    <row r="50" spans="1:9" s="196" customFormat="1" ht="17.399999999999999">
      <c r="A50" s="194"/>
      <c r="B50" s="195"/>
      <c r="C50" s="196" t="str">
        <f t="shared" si="0"/>
        <v/>
      </c>
      <c r="D50" s="197"/>
      <c r="E50" s="198"/>
      <c r="F50" s="196" t="str">
        <f t="shared" si="1"/>
        <v/>
      </c>
      <c r="G50" s="197"/>
      <c r="H50" s="198"/>
      <c r="I50" s="196" t="str">
        <f t="shared" si="2"/>
        <v/>
      </c>
    </row>
    <row r="51" spans="1:9" s="196" customFormat="1" ht="17.399999999999999">
      <c r="A51" s="194"/>
      <c r="B51" s="195"/>
      <c r="C51" s="196" t="str">
        <f t="shared" si="0"/>
        <v/>
      </c>
      <c r="D51" s="197"/>
      <c r="E51" s="198"/>
      <c r="F51" s="196" t="str">
        <f t="shared" si="1"/>
        <v/>
      </c>
      <c r="G51" s="197"/>
      <c r="H51" s="198"/>
      <c r="I51" s="196" t="str">
        <f t="shared" si="2"/>
        <v/>
      </c>
    </row>
    <row r="52" spans="1:9" s="196" customFormat="1" ht="17.399999999999999">
      <c r="A52" s="194"/>
      <c r="B52" s="195"/>
      <c r="C52" s="196" t="str">
        <f t="shared" si="0"/>
        <v/>
      </c>
      <c r="D52" s="197"/>
      <c r="E52" s="198"/>
      <c r="F52" s="196" t="str">
        <f t="shared" si="1"/>
        <v/>
      </c>
      <c r="G52" s="197"/>
      <c r="H52" s="198"/>
      <c r="I52" s="196" t="str">
        <f t="shared" si="2"/>
        <v/>
      </c>
    </row>
    <row r="53" spans="1:9" s="196" customFormat="1" ht="17.399999999999999">
      <c r="A53" s="194"/>
      <c r="B53" s="195"/>
      <c r="C53" s="196" t="str">
        <f t="shared" si="0"/>
        <v/>
      </c>
      <c r="D53" s="197"/>
      <c r="E53" s="198"/>
      <c r="F53" s="196" t="str">
        <f t="shared" si="1"/>
        <v/>
      </c>
      <c r="G53" s="197"/>
      <c r="H53" s="198"/>
      <c r="I53" s="196" t="str">
        <f t="shared" si="2"/>
        <v/>
      </c>
    </row>
    <row r="54" spans="1:9" s="196" customFormat="1" ht="17.399999999999999">
      <c r="A54" s="194"/>
      <c r="B54" s="195"/>
      <c r="C54" s="196" t="str">
        <f t="shared" si="0"/>
        <v/>
      </c>
      <c r="D54" s="197"/>
      <c r="E54" s="198"/>
      <c r="F54" s="196" t="str">
        <f t="shared" si="1"/>
        <v/>
      </c>
      <c r="G54" s="197"/>
      <c r="H54" s="198"/>
      <c r="I54" s="196" t="str">
        <f t="shared" si="2"/>
        <v/>
      </c>
    </row>
    <row r="55" spans="1:9" s="196" customFormat="1" ht="17.399999999999999">
      <c r="A55" s="194"/>
      <c r="B55" s="195"/>
      <c r="C55" s="196" t="str">
        <f t="shared" si="0"/>
        <v/>
      </c>
      <c r="D55" s="197"/>
      <c r="E55" s="198"/>
      <c r="F55" s="196" t="str">
        <f t="shared" si="1"/>
        <v/>
      </c>
      <c r="G55" s="197"/>
      <c r="H55" s="198"/>
      <c r="I55" s="196" t="str">
        <f t="shared" si="2"/>
        <v/>
      </c>
    </row>
    <row r="56" spans="1:9" s="196" customFormat="1" ht="17.399999999999999">
      <c r="A56" s="194"/>
      <c r="B56" s="195"/>
      <c r="C56" s="196" t="str">
        <f t="shared" si="0"/>
        <v/>
      </c>
      <c r="D56" s="197"/>
      <c r="E56" s="198"/>
      <c r="F56" s="196" t="str">
        <f t="shared" si="1"/>
        <v/>
      </c>
      <c r="G56" s="197"/>
      <c r="H56" s="198"/>
      <c r="I56" s="196" t="str">
        <f t="shared" si="2"/>
        <v/>
      </c>
    </row>
    <row r="57" spans="1:9" s="196" customFormat="1" ht="17.399999999999999">
      <c r="A57" s="194"/>
      <c r="B57" s="195"/>
      <c r="C57" s="196" t="str">
        <f t="shared" si="0"/>
        <v/>
      </c>
      <c r="D57" s="197"/>
      <c r="E57" s="198"/>
      <c r="F57" s="196" t="str">
        <f t="shared" si="1"/>
        <v/>
      </c>
      <c r="G57" s="197"/>
      <c r="H57" s="198"/>
      <c r="I57" s="196" t="str">
        <f t="shared" si="2"/>
        <v/>
      </c>
    </row>
    <row r="58" spans="1:9" s="196" customFormat="1" ht="17.399999999999999">
      <c r="A58" s="194"/>
      <c r="B58" s="195"/>
      <c r="C58" s="196" t="str">
        <f t="shared" si="0"/>
        <v/>
      </c>
      <c r="D58" s="197"/>
      <c r="E58" s="198"/>
      <c r="F58" s="196" t="str">
        <f t="shared" si="1"/>
        <v/>
      </c>
      <c r="G58" s="197"/>
      <c r="H58" s="198"/>
      <c r="I58" s="196" t="str">
        <f t="shared" si="2"/>
        <v/>
      </c>
    </row>
    <row r="59" spans="1:9" s="196" customFormat="1" ht="17.399999999999999">
      <c r="A59" s="194"/>
      <c r="B59" s="195"/>
      <c r="C59" s="196" t="str">
        <f t="shared" si="0"/>
        <v/>
      </c>
      <c r="D59" s="197"/>
      <c r="E59" s="198"/>
      <c r="F59" s="196" t="str">
        <f t="shared" si="1"/>
        <v/>
      </c>
      <c r="G59" s="197"/>
      <c r="H59" s="198"/>
      <c r="I59" s="196" t="str">
        <f t="shared" si="2"/>
        <v/>
      </c>
    </row>
    <row r="60" spans="1:9" s="196" customFormat="1" ht="17.399999999999999">
      <c r="A60" s="194"/>
      <c r="B60" s="195"/>
      <c r="C60" s="196" t="str">
        <f t="shared" si="0"/>
        <v/>
      </c>
      <c r="D60" s="197"/>
      <c r="E60" s="198"/>
      <c r="F60" s="196" t="str">
        <f t="shared" si="1"/>
        <v/>
      </c>
      <c r="G60" s="197"/>
      <c r="H60" s="198"/>
      <c r="I60" s="196" t="str">
        <f t="shared" si="2"/>
        <v/>
      </c>
    </row>
    <row r="61" spans="1:9" s="196" customFormat="1" ht="17.399999999999999">
      <c r="A61" s="194"/>
      <c r="B61" s="195"/>
      <c r="C61" s="196" t="str">
        <f t="shared" si="0"/>
        <v/>
      </c>
      <c r="D61" s="197"/>
      <c r="E61" s="198"/>
      <c r="F61" s="196" t="str">
        <f t="shared" si="1"/>
        <v/>
      </c>
      <c r="G61" s="197"/>
      <c r="H61" s="198"/>
      <c r="I61" s="196" t="str">
        <f t="shared" si="2"/>
        <v/>
      </c>
    </row>
    <row r="62" spans="1:9" s="196" customFormat="1" ht="17.399999999999999">
      <c r="A62" s="194"/>
      <c r="B62" s="195"/>
      <c r="C62" s="196" t="str">
        <f t="shared" si="0"/>
        <v/>
      </c>
      <c r="D62" s="197"/>
      <c r="E62" s="198"/>
      <c r="F62" s="196" t="str">
        <f t="shared" si="1"/>
        <v/>
      </c>
      <c r="G62" s="197"/>
      <c r="H62" s="198"/>
      <c r="I62" s="196" t="str">
        <f t="shared" si="2"/>
        <v/>
      </c>
    </row>
    <row r="63" spans="1:9" s="196" customFormat="1" ht="17.399999999999999">
      <c r="A63" s="194"/>
      <c r="B63" s="195"/>
      <c r="C63" s="196" t="str">
        <f t="shared" si="0"/>
        <v/>
      </c>
      <c r="D63" s="197"/>
      <c r="E63" s="198"/>
      <c r="F63" s="196" t="str">
        <f t="shared" si="1"/>
        <v/>
      </c>
      <c r="G63" s="197"/>
      <c r="H63" s="198"/>
      <c r="I63" s="196" t="str">
        <f t="shared" si="2"/>
        <v/>
      </c>
    </row>
    <row r="64" spans="1:9" s="196" customFormat="1" ht="17.399999999999999">
      <c r="A64" s="194"/>
      <c r="B64" s="195"/>
      <c r="C64" s="196" t="str">
        <f t="shared" si="0"/>
        <v/>
      </c>
      <c r="D64" s="197"/>
      <c r="E64" s="198"/>
      <c r="F64" s="196" t="str">
        <f t="shared" si="1"/>
        <v/>
      </c>
      <c r="G64" s="197"/>
      <c r="H64" s="198"/>
      <c r="I64" s="196" t="str">
        <f t="shared" si="2"/>
        <v/>
      </c>
    </row>
    <row r="65" spans="1:9" s="196" customFormat="1" ht="17.399999999999999">
      <c r="A65" s="194"/>
      <c r="B65" s="195"/>
      <c r="C65" s="196" t="str">
        <f t="shared" si="0"/>
        <v/>
      </c>
      <c r="D65" s="197"/>
      <c r="E65" s="198"/>
      <c r="F65" s="196" t="str">
        <f t="shared" si="1"/>
        <v/>
      </c>
      <c r="G65" s="197"/>
      <c r="H65" s="198"/>
      <c r="I65" s="196" t="str">
        <f t="shared" si="2"/>
        <v/>
      </c>
    </row>
    <row r="66" spans="1:9" s="196" customFormat="1" ht="17.399999999999999">
      <c r="A66" s="194"/>
      <c r="B66" s="195"/>
      <c r="C66" s="196" t="str">
        <f t="shared" si="0"/>
        <v/>
      </c>
      <c r="D66" s="197"/>
      <c r="E66" s="198"/>
      <c r="F66" s="196" t="str">
        <f t="shared" si="1"/>
        <v/>
      </c>
      <c r="G66" s="197"/>
      <c r="H66" s="198"/>
      <c r="I66" s="196" t="str">
        <f t="shared" si="2"/>
        <v/>
      </c>
    </row>
    <row r="67" spans="1:9" s="196" customFormat="1" ht="17.399999999999999">
      <c r="A67" s="194"/>
      <c r="B67" s="195"/>
      <c r="C67" s="196" t="str">
        <f t="shared" si="0"/>
        <v/>
      </c>
      <c r="D67" s="197"/>
      <c r="E67" s="198"/>
      <c r="F67" s="196" t="str">
        <f t="shared" si="1"/>
        <v/>
      </c>
      <c r="G67" s="197"/>
      <c r="H67" s="198"/>
      <c r="I67" s="196" t="str">
        <f t="shared" si="2"/>
        <v/>
      </c>
    </row>
    <row r="68" spans="1:9" s="196" customFormat="1" ht="17.399999999999999">
      <c r="A68" s="194"/>
      <c r="B68" s="195"/>
      <c r="C68" s="196" t="str">
        <f t="shared" si="0"/>
        <v/>
      </c>
      <c r="D68" s="197"/>
      <c r="E68" s="198"/>
      <c r="F68" s="196" t="str">
        <f t="shared" si="1"/>
        <v/>
      </c>
      <c r="G68" s="197"/>
      <c r="H68" s="198"/>
      <c r="I68" s="196" t="str">
        <f t="shared" si="2"/>
        <v/>
      </c>
    </row>
    <row r="69" spans="1:9" s="196" customFormat="1" ht="17.399999999999999">
      <c r="A69" s="194"/>
      <c r="B69" s="195"/>
      <c r="C69" s="196" t="str">
        <f t="shared" ref="C69:C132" si="3">IF(B69&gt;0,TEXT(B69,"(aaa)"),"")</f>
        <v/>
      </c>
      <c r="D69" s="197"/>
      <c r="E69" s="198"/>
      <c r="F69" s="196" t="str">
        <f t="shared" ref="F69:F132" si="4">IF(E69&gt;0,TEXT(E69,"(aaa)"),"")</f>
        <v/>
      </c>
      <c r="G69" s="197"/>
      <c r="H69" s="198"/>
      <c r="I69" s="196" t="str">
        <f t="shared" ref="I69:I132" si="5">IF(H69&gt;0,TEXT(H69,"(aaa)"),"")</f>
        <v/>
      </c>
    </row>
    <row r="70" spans="1:9" s="196" customFormat="1" ht="17.399999999999999">
      <c r="A70" s="194"/>
      <c r="B70" s="195"/>
      <c r="C70" s="196" t="str">
        <f t="shared" si="3"/>
        <v/>
      </c>
      <c r="D70" s="197"/>
      <c r="E70" s="198"/>
      <c r="F70" s="196" t="str">
        <f t="shared" si="4"/>
        <v/>
      </c>
      <c r="G70" s="197"/>
      <c r="H70" s="198"/>
      <c r="I70" s="196" t="str">
        <f t="shared" si="5"/>
        <v/>
      </c>
    </row>
    <row r="71" spans="1:9" s="196" customFormat="1" ht="17.399999999999999">
      <c r="A71" s="194"/>
      <c r="B71" s="195"/>
      <c r="C71" s="196" t="str">
        <f t="shared" si="3"/>
        <v/>
      </c>
      <c r="D71" s="197"/>
      <c r="E71" s="198"/>
      <c r="F71" s="196" t="str">
        <f t="shared" si="4"/>
        <v/>
      </c>
      <c r="G71" s="197"/>
      <c r="H71" s="198"/>
      <c r="I71" s="196" t="str">
        <f t="shared" si="5"/>
        <v/>
      </c>
    </row>
    <row r="72" spans="1:9" s="196" customFormat="1" ht="17.399999999999999">
      <c r="A72" s="194"/>
      <c r="B72" s="195"/>
      <c r="C72" s="196" t="str">
        <f t="shared" si="3"/>
        <v/>
      </c>
      <c r="D72" s="197"/>
      <c r="E72" s="198"/>
      <c r="F72" s="196" t="str">
        <f t="shared" si="4"/>
        <v/>
      </c>
      <c r="G72" s="197"/>
      <c r="H72" s="198"/>
      <c r="I72" s="196" t="str">
        <f t="shared" si="5"/>
        <v/>
      </c>
    </row>
    <row r="73" spans="1:9" s="196" customFormat="1" ht="17.399999999999999">
      <c r="A73" s="194"/>
      <c r="B73" s="195"/>
      <c r="C73" s="196" t="str">
        <f t="shared" si="3"/>
        <v/>
      </c>
      <c r="D73" s="197"/>
      <c r="E73" s="198"/>
      <c r="F73" s="196" t="str">
        <f t="shared" si="4"/>
        <v/>
      </c>
      <c r="G73" s="197"/>
      <c r="H73" s="198"/>
      <c r="I73" s="196" t="str">
        <f t="shared" si="5"/>
        <v/>
      </c>
    </row>
    <row r="74" spans="1:9" s="196" customFormat="1" ht="17.399999999999999">
      <c r="A74" s="194"/>
      <c r="B74" s="195"/>
      <c r="C74" s="196" t="str">
        <f t="shared" si="3"/>
        <v/>
      </c>
      <c r="D74" s="197"/>
      <c r="E74" s="198"/>
      <c r="F74" s="196" t="str">
        <f t="shared" si="4"/>
        <v/>
      </c>
      <c r="G74" s="197"/>
      <c r="H74" s="198"/>
      <c r="I74" s="196" t="str">
        <f t="shared" si="5"/>
        <v/>
      </c>
    </row>
    <row r="75" spans="1:9" s="196" customFormat="1" ht="17.399999999999999">
      <c r="A75" s="194"/>
      <c r="B75" s="195"/>
      <c r="C75" s="196" t="str">
        <f t="shared" si="3"/>
        <v/>
      </c>
      <c r="D75" s="197"/>
      <c r="E75" s="198"/>
      <c r="F75" s="196" t="str">
        <f t="shared" si="4"/>
        <v/>
      </c>
      <c r="G75" s="197"/>
      <c r="H75" s="198"/>
      <c r="I75" s="196" t="str">
        <f t="shared" si="5"/>
        <v/>
      </c>
    </row>
    <row r="76" spans="1:9" s="196" customFormat="1" ht="17.399999999999999">
      <c r="A76" s="194"/>
      <c r="B76" s="195"/>
      <c r="C76" s="196" t="str">
        <f t="shared" si="3"/>
        <v/>
      </c>
      <c r="D76" s="197"/>
      <c r="E76" s="198"/>
      <c r="F76" s="196" t="str">
        <f t="shared" si="4"/>
        <v/>
      </c>
      <c r="G76" s="197"/>
      <c r="H76" s="198"/>
      <c r="I76" s="196" t="str">
        <f t="shared" si="5"/>
        <v/>
      </c>
    </row>
    <row r="77" spans="1:9" s="196" customFormat="1" ht="17.399999999999999">
      <c r="A77" s="194"/>
      <c r="B77" s="195"/>
      <c r="C77" s="196" t="str">
        <f t="shared" si="3"/>
        <v/>
      </c>
      <c r="D77" s="197"/>
      <c r="E77" s="198"/>
      <c r="F77" s="196" t="str">
        <f t="shared" si="4"/>
        <v/>
      </c>
      <c r="G77" s="197"/>
      <c r="H77" s="198"/>
      <c r="I77" s="196" t="str">
        <f t="shared" si="5"/>
        <v/>
      </c>
    </row>
    <row r="78" spans="1:9" s="196" customFormat="1" ht="17.399999999999999">
      <c r="A78" s="194"/>
      <c r="B78" s="195"/>
      <c r="C78" s="196" t="str">
        <f t="shared" si="3"/>
        <v/>
      </c>
      <c r="D78" s="197"/>
      <c r="E78" s="198"/>
      <c r="F78" s="196" t="str">
        <f t="shared" si="4"/>
        <v/>
      </c>
      <c r="G78" s="197"/>
      <c r="H78" s="198"/>
      <c r="I78" s="196" t="str">
        <f t="shared" si="5"/>
        <v/>
      </c>
    </row>
    <row r="79" spans="1:9" s="196" customFormat="1" ht="17.399999999999999">
      <c r="A79" s="194"/>
      <c r="B79" s="195"/>
      <c r="C79" s="196" t="str">
        <f t="shared" si="3"/>
        <v/>
      </c>
      <c r="D79" s="197"/>
      <c r="E79" s="198"/>
      <c r="F79" s="196" t="str">
        <f t="shared" si="4"/>
        <v/>
      </c>
      <c r="G79" s="197"/>
      <c r="H79" s="198"/>
      <c r="I79" s="196" t="str">
        <f t="shared" si="5"/>
        <v/>
      </c>
    </row>
    <row r="80" spans="1:9" s="196" customFormat="1" ht="17.399999999999999">
      <c r="A80" s="194"/>
      <c r="B80" s="195"/>
      <c r="C80" s="196" t="str">
        <f t="shared" si="3"/>
        <v/>
      </c>
      <c r="D80" s="197"/>
      <c r="E80" s="198"/>
      <c r="F80" s="196" t="str">
        <f t="shared" si="4"/>
        <v/>
      </c>
      <c r="G80" s="197"/>
      <c r="H80" s="198"/>
      <c r="I80" s="196" t="str">
        <f t="shared" si="5"/>
        <v/>
      </c>
    </row>
    <row r="81" spans="1:9" s="196" customFormat="1" ht="17.399999999999999">
      <c r="A81" s="194"/>
      <c r="B81" s="195"/>
      <c r="C81" s="196" t="str">
        <f t="shared" si="3"/>
        <v/>
      </c>
      <c r="D81" s="197"/>
      <c r="E81" s="198"/>
      <c r="F81" s="196" t="str">
        <f t="shared" si="4"/>
        <v/>
      </c>
      <c r="G81" s="197"/>
      <c r="H81" s="198"/>
      <c r="I81" s="196" t="str">
        <f t="shared" si="5"/>
        <v/>
      </c>
    </row>
    <row r="82" spans="1:9" s="196" customFormat="1" ht="17.399999999999999">
      <c r="A82" s="194"/>
      <c r="B82" s="195"/>
      <c r="C82" s="196" t="str">
        <f t="shared" si="3"/>
        <v/>
      </c>
      <c r="D82" s="197"/>
      <c r="E82" s="198"/>
      <c r="F82" s="196" t="str">
        <f t="shared" si="4"/>
        <v/>
      </c>
      <c r="G82" s="197"/>
      <c r="H82" s="198"/>
      <c r="I82" s="196" t="str">
        <f t="shared" si="5"/>
        <v/>
      </c>
    </row>
    <row r="83" spans="1:9" s="196" customFormat="1" ht="17.399999999999999">
      <c r="A83" s="194"/>
      <c r="B83" s="195"/>
      <c r="C83" s="196" t="str">
        <f t="shared" si="3"/>
        <v/>
      </c>
      <c r="D83" s="197"/>
      <c r="E83" s="198"/>
      <c r="F83" s="196" t="str">
        <f t="shared" si="4"/>
        <v/>
      </c>
      <c r="G83" s="197"/>
      <c r="H83" s="198"/>
      <c r="I83" s="196" t="str">
        <f t="shared" si="5"/>
        <v/>
      </c>
    </row>
    <row r="84" spans="1:9" s="196" customFormat="1" ht="17.399999999999999">
      <c r="A84" s="194"/>
      <c r="B84" s="195"/>
      <c r="C84" s="196" t="str">
        <f t="shared" si="3"/>
        <v/>
      </c>
      <c r="D84" s="197"/>
      <c r="E84" s="198"/>
      <c r="F84" s="196" t="str">
        <f t="shared" si="4"/>
        <v/>
      </c>
      <c r="G84" s="197"/>
      <c r="H84" s="198"/>
      <c r="I84" s="196" t="str">
        <f t="shared" si="5"/>
        <v/>
      </c>
    </row>
    <row r="85" spans="1:9" s="196" customFormat="1" ht="17.399999999999999">
      <c r="A85" s="194"/>
      <c r="B85" s="195"/>
      <c r="C85" s="196" t="str">
        <f t="shared" si="3"/>
        <v/>
      </c>
      <c r="D85" s="197"/>
      <c r="E85" s="198"/>
      <c r="F85" s="196" t="str">
        <f t="shared" si="4"/>
        <v/>
      </c>
      <c r="G85" s="197"/>
      <c r="H85" s="198"/>
      <c r="I85" s="196" t="str">
        <f t="shared" si="5"/>
        <v/>
      </c>
    </row>
    <row r="86" spans="1:9" s="196" customFormat="1" ht="17.399999999999999">
      <c r="A86" s="194"/>
      <c r="B86" s="195"/>
      <c r="C86" s="196" t="str">
        <f t="shared" si="3"/>
        <v/>
      </c>
      <c r="D86" s="197"/>
      <c r="E86" s="198"/>
      <c r="F86" s="196" t="str">
        <f t="shared" si="4"/>
        <v/>
      </c>
      <c r="G86" s="197"/>
      <c r="H86" s="198"/>
      <c r="I86" s="196" t="str">
        <f t="shared" si="5"/>
        <v/>
      </c>
    </row>
    <row r="87" spans="1:9" s="196" customFormat="1" ht="17.399999999999999">
      <c r="A87" s="194"/>
      <c r="B87" s="195"/>
      <c r="C87" s="196" t="str">
        <f t="shared" si="3"/>
        <v/>
      </c>
      <c r="D87" s="197"/>
      <c r="E87" s="198"/>
      <c r="F87" s="196" t="str">
        <f t="shared" si="4"/>
        <v/>
      </c>
      <c r="G87" s="197"/>
      <c r="H87" s="198"/>
      <c r="I87" s="196" t="str">
        <f t="shared" si="5"/>
        <v/>
      </c>
    </row>
    <row r="88" spans="1:9" s="196" customFormat="1" ht="17.399999999999999">
      <c r="A88" s="194"/>
      <c r="B88" s="195"/>
      <c r="C88" s="196" t="str">
        <f t="shared" si="3"/>
        <v/>
      </c>
      <c r="D88" s="197"/>
      <c r="E88" s="198"/>
      <c r="F88" s="196" t="str">
        <f t="shared" si="4"/>
        <v/>
      </c>
      <c r="G88" s="197"/>
      <c r="H88" s="198"/>
      <c r="I88" s="196" t="str">
        <f t="shared" si="5"/>
        <v/>
      </c>
    </row>
    <row r="89" spans="1:9" s="196" customFormat="1" ht="17.399999999999999">
      <c r="A89" s="194"/>
      <c r="B89" s="195"/>
      <c r="C89" s="196" t="str">
        <f t="shared" si="3"/>
        <v/>
      </c>
      <c r="D89" s="197"/>
      <c r="E89" s="198"/>
      <c r="F89" s="196" t="str">
        <f t="shared" si="4"/>
        <v/>
      </c>
      <c r="G89" s="197"/>
      <c r="H89" s="198"/>
      <c r="I89" s="196" t="str">
        <f t="shared" si="5"/>
        <v/>
      </c>
    </row>
    <row r="90" spans="1:9" s="196" customFormat="1" ht="17.399999999999999">
      <c r="A90" s="194"/>
      <c r="B90" s="195"/>
      <c r="C90" s="196" t="str">
        <f t="shared" si="3"/>
        <v/>
      </c>
      <c r="D90" s="197"/>
      <c r="E90" s="198"/>
      <c r="F90" s="196" t="str">
        <f t="shared" si="4"/>
        <v/>
      </c>
      <c r="G90" s="197"/>
      <c r="H90" s="198"/>
      <c r="I90" s="196" t="str">
        <f t="shared" si="5"/>
        <v/>
      </c>
    </row>
    <row r="91" spans="1:9" s="196" customFormat="1" ht="17.399999999999999">
      <c r="A91" s="194"/>
      <c r="B91" s="195"/>
      <c r="C91" s="196" t="str">
        <f t="shared" si="3"/>
        <v/>
      </c>
      <c r="D91" s="197"/>
      <c r="E91" s="198"/>
      <c r="F91" s="196" t="str">
        <f t="shared" si="4"/>
        <v/>
      </c>
      <c r="G91" s="197"/>
      <c r="H91" s="198"/>
      <c r="I91" s="196" t="str">
        <f t="shared" si="5"/>
        <v/>
      </c>
    </row>
    <row r="92" spans="1:9" s="196" customFormat="1" ht="17.399999999999999">
      <c r="A92" s="194"/>
      <c r="B92" s="195"/>
      <c r="C92" s="196" t="str">
        <f t="shared" si="3"/>
        <v/>
      </c>
      <c r="D92" s="197"/>
      <c r="E92" s="198"/>
      <c r="F92" s="196" t="str">
        <f t="shared" si="4"/>
        <v/>
      </c>
      <c r="G92" s="197"/>
      <c r="H92" s="198"/>
      <c r="I92" s="196" t="str">
        <f t="shared" si="5"/>
        <v/>
      </c>
    </row>
    <row r="93" spans="1:9" s="196" customFormat="1" ht="17.399999999999999">
      <c r="A93" s="194"/>
      <c r="B93" s="195"/>
      <c r="C93" s="196" t="str">
        <f t="shared" si="3"/>
        <v/>
      </c>
      <c r="D93" s="197"/>
      <c r="E93" s="198"/>
      <c r="F93" s="196" t="str">
        <f t="shared" si="4"/>
        <v/>
      </c>
      <c r="G93" s="197"/>
      <c r="H93" s="198"/>
      <c r="I93" s="196" t="str">
        <f t="shared" si="5"/>
        <v/>
      </c>
    </row>
    <row r="94" spans="1:9" s="196" customFormat="1" ht="17.399999999999999">
      <c r="A94" s="194"/>
      <c r="B94" s="195"/>
      <c r="C94" s="196" t="str">
        <f t="shared" si="3"/>
        <v/>
      </c>
      <c r="D94" s="197"/>
      <c r="E94" s="198"/>
      <c r="F94" s="196" t="str">
        <f t="shared" si="4"/>
        <v/>
      </c>
      <c r="G94" s="197"/>
      <c r="H94" s="198"/>
      <c r="I94" s="196" t="str">
        <f t="shared" si="5"/>
        <v/>
      </c>
    </row>
    <row r="95" spans="1:9" s="196" customFormat="1" ht="17.399999999999999">
      <c r="A95" s="194"/>
      <c r="B95" s="195"/>
      <c r="C95" s="196" t="str">
        <f t="shared" si="3"/>
        <v/>
      </c>
      <c r="D95" s="197"/>
      <c r="E95" s="198"/>
      <c r="F95" s="196" t="str">
        <f t="shared" si="4"/>
        <v/>
      </c>
      <c r="G95" s="197"/>
      <c r="H95" s="198"/>
      <c r="I95" s="196" t="str">
        <f t="shared" si="5"/>
        <v/>
      </c>
    </row>
    <row r="96" spans="1:9" s="196" customFormat="1" ht="17.399999999999999">
      <c r="A96" s="194"/>
      <c r="B96" s="195"/>
      <c r="C96" s="196" t="str">
        <f t="shared" si="3"/>
        <v/>
      </c>
      <c r="D96" s="197"/>
      <c r="E96" s="198"/>
      <c r="F96" s="196" t="str">
        <f t="shared" si="4"/>
        <v/>
      </c>
      <c r="G96" s="197"/>
      <c r="H96" s="198"/>
      <c r="I96" s="196" t="str">
        <f t="shared" si="5"/>
        <v/>
      </c>
    </row>
    <row r="97" spans="1:9" s="196" customFormat="1" ht="17.399999999999999">
      <c r="A97" s="194"/>
      <c r="B97" s="195"/>
      <c r="C97" s="196" t="str">
        <f t="shared" si="3"/>
        <v/>
      </c>
      <c r="D97" s="197"/>
      <c r="E97" s="198"/>
      <c r="F97" s="196" t="str">
        <f t="shared" si="4"/>
        <v/>
      </c>
      <c r="G97" s="197"/>
      <c r="H97" s="198"/>
      <c r="I97" s="196" t="str">
        <f t="shared" si="5"/>
        <v/>
      </c>
    </row>
    <row r="98" spans="1:9" s="196" customFormat="1" ht="17.399999999999999">
      <c r="A98" s="194"/>
      <c r="B98" s="195"/>
      <c r="C98" s="196" t="str">
        <f t="shared" si="3"/>
        <v/>
      </c>
      <c r="D98" s="197"/>
      <c r="E98" s="198"/>
      <c r="F98" s="196" t="str">
        <f t="shared" si="4"/>
        <v/>
      </c>
      <c r="G98" s="197"/>
      <c r="H98" s="198"/>
      <c r="I98" s="196" t="str">
        <f t="shared" si="5"/>
        <v/>
      </c>
    </row>
    <row r="99" spans="1:9" s="196" customFormat="1" ht="17.399999999999999">
      <c r="A99" s="194"/>
      <c r="B99" s="195"/>
      <c r="C99" s="196" t="str">
        <f t="shared" si="3"/>
        <v/>
      </c>
      <c r="D99" s="197"/>
      <c r="E99" s="198"/>
      <c r="F99" s="196" t="str">
        <f t="shared" si="4"/>
        <v/>
      </c>
      <c r="G99" s="197"/>
      <c r="H99" s="198"/>
      <c r="I99" s="196" t="str">
        <f t="shared" si="5"/>
        <v/>
      </c>
    </row>
    <row r="100" spans="1:9" s="196" customFormat="1" ht="17.399999999999999">
      <c r="A100" s="194"/>
      <c r="B100" s="195"/>
      <c r="C100" s="196" t="str">
        <f t="shared" si="3"/>
        <v/>
      </c>
      <c r="D100" s="197"/>
      <c r="E100" s="198"/>
      <c r="F100" s="196" t="str">
        <f t="shared" si="4"/>
        <v/>
      </c>
      <c r="G100" s="197"/>
      <c r="H100" s="198"/>
      <c r="I100" s="196" t="str">
        <f t="shared" si="5"/>
        <v/>
      </c>
    </row>
    <row r="101" spans="1:9" s="196" customFormat="1" ht="17.399999999999999">
      <c r="A101" s="194"/>
      <c r="B101" s="195"/>
      <c r="C101" s="196" t="str">
        <f t="shared" si="3"/>
        <v/>
      </c>
      <c r="D101" s="197"/>
      <c r="E101" s="198"/>
      <c r="F101" s="196" t="str">
        <f t="shared" si="4"/>
        <v/>
      </c>
      <c r="G101" s="197"/>
      <c r="H101" s="198"/>
      <c r="I101" s="196" t="str">
        <f t="shared" si="5"/>
        <v/>
      </c>
    </row>
    <row r="102" spans="1:9" s="196" customFormat="1" ht="17.399999999999999">
      <c r="A102" s="194"/>
      <c r="B102" s="195"/>
      <c r="C102" s="196" t="str">
        <f t="shared" si="3"/>
        <v/>
      </c>
      <c r="D102" s="197"/>
      <c r="E102" s="198"/>
      <c r="F102" s="196" t="str">
        <f t="shared" si="4"/>
        <v/>
      </c>
      <c r="G102" s="197"/>
      <c r="H102" s="198"/>
      <c r="I102" s="196" t="str">
        <f t="shared" si="5"/>
        <v/>
      </c>
    </row>
    <row r="103" spans="1:9" s="196" customFormat="1" ht="17.399999999999999">
      <c r="A103" s="194"/>
      <c r="B103" s="195"/>
      <c r="C103" s="196" t="str">
        <f t="shared" si="3"/>
        <v/>
      </c>
      <c r="D103" s="197"/>
      <c r="E103" s="198"/>
      <c r="F103" s="196" t="str">
        <f t="shared" si="4"/>
        <v/>
      </c>
      <c r="G103" s="197"/>
      <c r="H103" s="198"/>
      <c r="I103" s="196" t="str">
        <f t="shared" si="5"/>
        <v/>
      </c>
    </row>
    <row r="104" spans="1:9" s="196" customFormat="1" ht="17.399999999999999">
      <c r="A104" s="194"/>
      <c r="B104" s="195"/>
      <c r="C104" s="196" t="str">
        <f t="shared" si="3"/>
        <v/>
      </c>
      <c r="D104" s="197"/>
      <c r="E104" s="198"/>
      <c r="F104" s="196" t="str">
        <f t="shared" si="4"/>
        <v/>
      </c>
      <c r="G104" s="197"/>
      <c r="H104" s="198"/>
      <c r="I104" s="196" t="str">
        <f t="shared" si="5"/>
        <v/>
      </c>
    </row>
    <row r="105" spans="1:9" s="196" customFormat="1" ht="17.399999999999999">
      <c r="A105" s="194"/>
      <c r="B105" s="195"/>
      <c r="C105" s="196" t="str">
        <f t="shared" si="3"/>
        <v/>
      </c>
      <c r="D105" s="197"/>
      <c r="E105" s="198"/>
      <c r="F105" s="196" t="str">
        <f t="shared" si="4"/>
        <v/>
      </c>
      <c r="G105" s="197"/>
      <c r="H105" s="198"/>
      <c r="I105" s="196" t="str">
        <f t="shared" si="5"/>
        <v/>
      </c>
    </row>
    <row r="106" spans="1:9" s="196" customFormat="1" ht="17.399999999999999">
      <c r="A106" s="194"/>
      <c r="B106" s="195"/>
      <c r="C106" s="196" t="str">
        <f t="shared" si="3"/>
        <v/>
      </c>
      <c r="D106" s="197"/>
      <c r="E106" s="198"/>
      <c r="F106" s="196" t="str">
        <f t="shared" si="4"/>
        <v/>
      </c>
      <c r="G106" s="197"/>
      <c r="H106" s="198"/>
      <c r="I106" s="196" t="str">
        <f t="shared" si="5"/>
        <v/>
      </c>
    </row>
    <row r="107" spans="1:9" s="196" customFormat="1" ht="17.399999999999999">
      <c r="A107" s="194"/>
      <c r="B107" s="195"/>
      <c r="C107" s="196" t="str">
        <f t="shared" si="3"/>
        <v/>
      </c>
      <c r="D107" s="197"/>
      <c r="E107" s="198"/>
      <c r="F107" s="196" t="str">
        <f t="shared" si="4"/>
        <v/>
      </c>
      <c r="G107" s="197"/>
      <c r="H107" s="198"/>
      <c r="I107" s="196" t="str">
        <f t="shared" si="5"/>
        <v/>
      </c>
    </row>
    <row r="108" spans="1:9" s="196" customFormat="1" ht="17.399999999999999">
      <c r="A108" s="194"/>
      <c r="B108" s="195"/>
      <c r="C108" s="196" t="str">
        <f t="shared" si="3"/>
        <v/>
      </c>
      <c r="D108" s="197"/>
      <c r="E108" s="198"/>
      <c r="F108" s="196" t="str">
        <f t="shared" si="4"/>
        <v/>
      </c>
      <c r="G108" s="197"/>
      <c r="H108" s="198"/>
      <c r="I108" s="196" t="str">
        <f t="shared" si="5"/>
        <v/>
      </c>
    </row>
    <row r="109" spans="1:9" s="196" customFormat="1" ht="17.399999999999999">
      <c r="A109" s="194"/>
      <c r="B109" s="195"/>
      <c r="C109" s="196" t="str">
        <f t="shared" si="3"/>
        <v/>
      </c>
      <c r="D109" s="197"/>
      <c r="E109" s="198"/>
      <c r="F109" s="196" t="str">
        <f t="shared" si="4"/>
        <v/>
      </c>
      <c r="G109" s="197"/>
      <c r="H109" s="198"/>
      <c r="I109" s="196" t="str">
        <f t="shared" si="5"/>
        <v/>
      </c>
    </row>
    <row r="110" spans="1:9" s="196" customFormat="1" ht="17.399999999999999">
      <c r="A110" s="194"/>
      <c r="B110" s="195"/>
      <c r="C110" s="196" t="str">
        <f t="shared" si="3"/>
        <v/>
      </c>
      <c r="D110" s="197"/>
      <c r="E110" s="198"/>
      <c r="F110" s="196" t="str">
        <f t="shared" si="4"/>
        <v/>
      </c>
      <c r="G110" s="197"/>
      <c r="H110" s="198"/>
      <c r="I110" s="196" t="str">
        <f t="shared" si="5"/>
        <v/>
      </c>
    </row>
    <row r="111" spans="1:9" s="196" customFormat="1" ht="17.399999999999999">
      <c r="A111" s="194"/>
      <c r="B111" s="195"/>
      <c r="C111" s="196" t="str">
        <f t="shared" si="3"/>
        <v/>
      </c>
      <c r="D111" s="197"/>
      <c r="E111" s="198"/>
      <c r="F111" s="196" t="str">
        <f t="shared" si="4"/>
        <v/>
      </c>
      <c r="G111" s="197"/>
      <c r="H111" s="198"/>
      <c r="I111" s="196" t="str">
        <f t="shared" si="5"/>
        <v/>
      </c>
    </row>
    <row r="112" spans="1:9" s="196" customFormat="1" ht="17.399999999999999">
      <c r="A112" s="194"/>
      <c r="B112" s="195"/>
      <c r="C112" s="196" t="str">
        <f t="shared" si="3"/>
        <v/>
      </c>
      <c r="D112" s="197"/>
      <c r="E112" s="198"/>
      <c r="F112" s="196" t="str">
        <f t="shared" si="4"/>
        <v/>
      </c>
      <c r="G112" s="197"/>
      <c r="H112" s="198"/>
      <c r="I112" s="196" t="str">
        <f t="shared" si="5"/>
        <v/>
      </c>
    </row>
    <row r="113" spans="1:9" s="196" customFormat="1" ht="17.399999999999999">
      <c r="A113" s="194"/>
      <c r="B113" s="195"/>
      <c r="C113" s="196" t="str">
        <f t="shared" si="3"/>
        <v/>
      </c>
      <c r="D113" s="197"/>
      <c r="E113" s="198"/>
      <c r="F113" s="196" t="str">
        <f t="shared" si="4"/>
        <v/>
      </c>
      <c r="G113" s="197"/>
      <c r="H113" s="198"/>
      <c r="I113" s="196" t="str">
        <f t="shared" si="5"/>
        <v/>
      </c>
    </row>
    <row r="114" spans="1:9" s="196" customFormat="1" ht="17.399999999999999">
      <c r="A114" s="194"/>
      <c r="B114" s="195"/>
      <c r="C114" s="196" t="str">
        <f t="shared" si="3"/>
        <v/>
      </c>
      <c r="D114" s="197"/>
      <c r="E114" s="198"/>
      <c r="F114" s="196" t="str">
        <f t="shared" si="4"/>
        <v/>
      </c>
      <c r="G114" s="197"/>
      <c r="H114" s="198"/>
      <c r="I114" s="196" t="str">
        <f t="shared" si="5"/>
        <v/>
      </c>
    </row>
    <row r="115" spans="1:9" s="196" customFormat="1" ht="17.399999999999999">
      <c r="A115" s="194"/>
      <c r="B115" s="195"/>
      <c r="C115" s="196" t="str">
        <f t="shared" si="3"/>
        <v/>
      </c>
      <c r="D115" s="197"/>
      <c r="E115" s="198"/>
      <c r="F115" s="196" t="str">
        <f t="shared" si="4"/>
        <v/>
      </c>
      <c r="G115" s="197"/>
      <c r="H115" s="198"/>
      <c r="I115" s="196" t="str">
        <f t="shared" si="5"/>
        <v/>
      </c>
    </row>
    <row r="116" spans="1:9" s="196" customFormat="1" ht="17.399999999999999">
      <c r="A116" s="194"/>
      <c r="B116" s="195"/>
      <c r="C116" s="196" t="str">
        <f t="shared" si="3"/>
        <v/>
      </c>
      <c r="D116" s="197"/>
      <c r="E116" s="198"/>
      <c r="F116" s="196" t="str">
        <f t="shared" si="4"/>
        <v/>
      </c>
      <c r="G116" s="197"/>
      <c r="H116" s="198"/>
      <c r="I116" s="196" t="str">
        <f t="shared" si="5"/>
        <v/>
      </c>
    </row>
    <row r="117" spans="1:9" s="196" customFormat="1" ht="17.399999999999999">
      <c r="A117" s="194"/>
      <c r="B117" s="195"/>
      <c r="C117" s="196" t="str">
        <f t="shared" si="3"/>
        <v/>
      </c>
      <c r="D117" s="197"/>
      <c r="E117" s="198"/>
      <c r="F117" s="196" t="str">
        <f t="shared" si="4"/>
        <v/>
      </c>
      <c r="G117" s="197"/>
      <c r="H117" s="198"/>
      <c r="I117" s="196" t="str">
        <f t="shared" si="5"/>
        <v/>
      </c>
    </row>
    <row r="118" spans="1:9" s="196" customFormat="1" ht="17.399999999999999">
      <c r="A118" s="194"/>
      <c r="B118" s="195"/>
      <c r="C118" s="196" t="str">
        <f t="shared" si="3"/>
        <v/>
      </c>
      <c r="D118" s="197"/>
      <c r="E118" s="198"/>
      <c r="F118" s="196" t="str">
        <f t="shared" si="4"/>
        <v/>
      </c>
      <c r="G118" s="197"/>
      <c r="H118" s="198"/>
      <c r="I118" s="196" t="str">
        <f t="shared" si="5"/>
        <v/>
      </c>
    </row>
    <row r="119" spans="1:9" s="196" customFormat="1" ht="17.399999999999999">
      <c r="A119" s="194"/>
      <c r="B119" s="195"/>
      <c r="C119" s="196" t="str">
        <f t="shared" si="3"/>
        <v/>
      </c>
      <c r="D119" s="197"/>
      <c r="E119" s="198"/>
      <c r="F119" s="196" t="str">
        <f t="shared" si="4"/>
        <v/>
      </c>
      <c r="G119" s="197"/>
      <c r="H119" s="198"/>
      <c r="I119" s="196" t="str">
        <f t="shared" si="5"/>
        <v/>
      </c>
    </row>
    <row r="120" spans="1:9" s="196" customFormat="1" ht="17.399999999999999">
      <c r="A120" s="194"/>
      <c r="B120" s="195"/>
      <c r="C120" s="196" t="str">
        <f t="shared" si="3"/>
        <v/>
      </c>
      <c r="D120" s="197"/>
      <c r="E120" s="198"/>
      <c r="F120" s="196" t="str">
        <f t="shared" si="4"/>
        <v/>
      </c>
      <c r="G120" s="197"/>
      <c r="H120" s="198"/>
      <c r="I120" s="196" t="str">
        <f t="shared" si="5"/>
        <v/>
      </c>
    </row>
    <row r="121" spans="1:9" s="196" customFormat="1" ht="17.399999999999999">
      <c r="A121" s="194"/>
      <c r="B121" s="195"/>
      <c r="C121" s="196" t="str">
        <f t="shared" si="3"/>
        <v/>
      </c>
      <c r="D121" s="197"/>
      <c r="E121" s="198"/>
      <c r="F121" s="196" t="str">
        <f t="shared" si="4"/>
        <v/>
      </c>
      <c r="G121" s="197"/>
      <c r="H121" s="198"/>
      <c r="I121" s="196" t="str">
        <f t="shared" si="5"/>
        <v/>
      </c>
    </row>
    <row r="122" spans="1:9" s="196" customFormat="1" ht="17.399999999999999">
      <c r="A122" s="194"/>
      <c r="B122" s="195"/>
      <c r="C122" s="196" t="str">
        <f t="shared" si="3"/>
        <v/>
      </c>
      <c r="D122" s="197"/>
      <c r="E122" s="198"/>
      <c r="F122" s="196" t="str">
        <f t="shared" si="4"/>
        <v/>
      </c>
      <c r="G122" s="197"/>
      <c r="H122" s="198"/>
      <c r="I122" s="196" t="str">
        <f t="shared" si="5"/>
        <v/>
      </c>
    </row>
    <row r="123" spans="1:9" s="196" customFormat="1" ht="17.399999999999999">
      <c r="A123" s="194"/>
      <c r="B123" s="200"/>
      <c r="C123" s="196" t="str">
        <f t="shared" si="3"/>
        <v/>
      </c>
      <c r="D123" s="197"/>
      <c r="E123" s="198"/>
      <c r="F123" s="196" t="str">
        <f t="shared" si="4"/>
        <v/>
      </c>
      <c r="G123" s="197"/>
      <c r="H123" s="198"/>
      <c r="I123" s="196" t="str">
        <f t="shared" si="5"/>
        <v/>
      </c>
    </row>
    <row r="124" spans="1:9" s="196" customFormat="1" ht="17.399999999999999">
      <c r="A124" s="194"/>
      <c r="B124" s="195"/>
      <c r="C124" s="196" t="str">
        <f t="shared" si="3"/>
        <v/>
      </c>
      <c r="D124" s="197"/>
      <c r="E124" s="198"/>
      <c r="F124" s="196" t="str">
        <f t="shared" si="4"/>
        <v/>
      </c>
      <c r="G124" s="197"/>
      <c r="H124" s="198"/>
      <c r="I124" s="196" t="str">
        <f t="shared" si="5"/>
        <v/>
      </c>
    </row>
    <row r="125" spans="1:9" s="196" customFormat="1" ht="17.399999999999999">
      <c r="A125" s="194"/>
      <c r="B125" s="195"/>
      <c r="C125" s="196" t="str">
        <f t="shared" si="3"/>
        <v/>
      </c>
      <c r="D125" s="197"/>
      <c r="E125" s="198"/>
      <c r="F125" s="196" t="str">
        <f t="shared" si="4"/>
        <v/>
      </c>
      <c r="G125" s="197"/>
      <c r="H125" s="198"/>
      <c r="I125" s="196" t="str">
        <f t="shared" si="5"/>
        <v/>
      </c>
    </row>
    <row r="126" spans="1:9" s="196" customFormat="1" ht="17.399999999999999">
      <c r="A126" s="194"/>
      <c r="B126" s="195"/>
      <c r="C126" s="196" t="str">
        <f t="shared" si="3"/>
        <v/>
      </c>
      <c r="D126" s="197"/>
      <c r="E126" s="198"/>
      <c r="F126" s="196" t="str">
        <f t="shared" si="4"/>
        <v/>
      </c>
      <c r="G126" s="197"/>
      <c r="H126" s="198"/>
      <c r="I126" s="196" t="str">
        <f t="shared" si="5"/>
        <v/>
      </c>
    </row>
    <row r="127" spans="1:9" s="196" customFormat="1" ht="17.399999999999999">
      <c r="A127" s="194"/>
      <c r="B127" s="195"/>
      <c r="C127" s="196" t="str">
        <f t="shared" si="3"/>
        <v/>
      </c>
      <c r="D127" s="197"/>
      <c r="E127" s="198"/>
      <c r="F127" s="196" t="str">
        <f t="shared" si="4"/>
        <v/>
      </c>
      <c r="G127" s="197"/>
      <c r="H127" s="198"/>
      <c r="I127" s="196" t="str">
        <f t="shared" si="5"/>
        <v/>
      </c>
    </row>
    <row r="128" spans="1:9" s="196" customFormat="1" ht="17.399999999999999">
      <c r="A128" s="194"/>
      <c r="B128" s="195"/>
      <c r="C128" s="196" t="str">
        <f t="shared" si="3"/>
        <v/>
      </c>
      <c r="D128" s="197"/>
      <c r="E128" s="198"/>
      <c r="F128" s="196" t="str">
        <f t="shared" si="4"/>
        <v/>
      </c>
      <c r="G128" s="197"/>
      <c r="H128" s="198"/>
      <c r="I128" s="196" t="str">
        <f t="shared" si="5"/>
        <v/>
      </c>
    </row>
    <row r="129" spans="1:9" s="196" customFormat="1" ht="17.399999999999999">
      <c r="A129" s="194"/>
      <c r="B129" s="195"/>
      <c r="C129" s="196" t="str">
        <f t="shared" si="3"/>
        <v/>
      </c>
      <c r="D129" s="197"/>
      <c r="E129" s="198"/>
      <c r="F129" s="196" t="str">
        <f t="shared" si="4"/>
        <v/>
      </c>
      <c r="G129" s="197"/>
      <c r="H129" s="198"/>
      <c r="I129" s="196" t="str">
        <f t="shared" si="5"/>
        <v/>
      </c>
    </row>
    <row r="130" spans="1:9" s="196" customFormat="1" ht="17.399999999999999">
      <c r="A130" s="194"/>
      <c r="B130" s="195"/>
      <c r="C130" s="196" t="str">
        <f t="shared" si="3"/>
        <v/>
      </c>
      <c r="D130" s="197"/>
      <c r="E130" s="198"/>
      <c r="F130" s="196" t="str">
        <f t="shared" si="4"/>
        <v/>
      </c>
      <c r="G130" s="197"/>
      <c r="H130" s="198"/>
      <c r="I130" s="196" t="str">
        <f t="shared" si="5"/>
        <v/>
      </c>
    </row>
    <row r="131" spans="1:9" s="196" customFormat="1" ht="17.399999999999999">
      <c r="A131" s="194"/>
      <c r="B131" s="195"/>
      <c r="C131" s="196" t="str">
        <f t="shared" si="3"/>
        <v/>
      </c>
      <c r="D131" s="197"/>
      <c r="E131" s="198"/>
      <c r="F131" s="196" t="str">
        <f t="shared" si="4"/>
        <v/>
      </c>
      <c r="G131" s="197"/>
      <c r="H131" s="198"/>
      <c r="I131" s="196" t="str">
        <f t="shared" si="5"/>
        <v/>
      </c>
    </row>
    <row r="132" spans="1:9" s="196" customFormat="1" ht="17.399999999999999">
      <c r="A132" s="194"/>
      <c r="B132" s="195"/>
      <c r="C132" s="196" t="str">
        <f t="shared" si="3"/>
        <v/>
      </c>
      <c r="D132" s="197"/>
      <c r="E132" s="198"/>
      <c r="F132" s="196" t="str">
        <f t="shared" si="4"/>
        <v/>
      </c>
      <c r="G132" s="197"/>
      <c r="H132" s="198"/>
      <c r="I132" s="196" t="str">
        <f t="shared" si="5"/>
        <v/>
      </c>
    </row>
    <row r="133" spans="1:9" s="196" customFormat="1" ht="17.399999999999999">
      <c r="A133" s="194"/>
      <c r="B133" s="195"/>
      <c r="C133" s="196" t="str">
        <f t="shared" ref="C133:C196" si="6">IF(B133&gt;0,TEXT(B133,"(aaa)"),"")</f>
        <v/>
      </c>
      <c r="D133" s="197"/>
      <c r="E133" s="198"/>
      <c r="F133" s="196" t="str">
        <f t="shared" ref="F133:F196" si="7">IF(E133&gt;0,TEXT(E133,"(aaa)"),"")</f>
        <v/>
      </c>
      <c r="G133" s="197"/>
      <c r="H133" s="198"/>
      <c r="I133" s="196" t="str">
        <f t="shared" ref="I133:I196" si="8">IF(H133&gt;0,TEXT(H133,"(aaa)"),"")</f>
        <v/>
      </c>
    </row>
    <row r="134" spans="1:9" s="196" customFormat="1" ht="17.399999999999999">
      <c r="A134" s="194"/>
      <c r="B134" s="195"/>
      <c r="C134" s="196" t="str">
        <f t="shared" si="6"/>
        <v/>
      </c>
      <c r="D134" s="197"/>
      <c r="E134" s="198"/>
      <c r="F134" s="196" t="str">
        <f t="shared" si="7"/>
        <v/>
      </c>
      <c r="G134" s="197"/>
      <c r="H134" s="198"/>
      <c r="I134" s="196" t="str">
        <f t="shared" si="8"/>
        <v/>
      </c>
    </row>
    <row r="135" spans="1:9" s="196" customFormat="1" ht="17.399999999999999">
      <c r="A135" s="194"/>
      <c r="B135" s="195"/>
      <c r="C135" s="196" t="str">
        <f t="shared" si="6"/>
        <v/>
      </c>
      <c r="D135" s="197"/>
      <c r="E135" s="198"/>
      <c r="F135" s="196" t="str">
        <f t="shared" si="7"/>
        <v/>
      </c>
      <c r="G135" s="197"/>
      <c r="H135" s="198"/>
      <c r="I135" s="196" t="str">
        <f t="shared" si="8"/>
        <v/>
      </c>
    </row>
    <row r="136" spans="1:9" s="196" customFormat="1" ht="17.399999999999999">
      <c r="A136" s="194"/>
      <c r="B136" s="195"/>
      <c r="C136" s="196" t="str">
        <f t="shared" si="6"/>
        <v/>
      </c>
      <c r="D136" s="197"/>
      <c r="E136" s="198"/>
      <c r="F136" s="196" t="str">
        <f t="shared" si="7"/>
        <v/>
      </c>
      <c r="G136" s="197"/>
      <c r="H136" s="198"/>
      <c r="I136" s="196" t="str">
        <f t="shared" si="8"/>
        <v/>
      </c>
    </row>
    <row r="137" spans="1:9" s="196" customFormat="1" ht="17.399999999999999">
      <c r="A137" s="194"/>
      <c r="B137" s="195"/>
      <c r="C137" s="196" t="str">
        <f t="shared" si="6"/>
        <v/>
      </c>
      <c r="D137" s="197"/>
      <c r="E137" s="198"/>
      <c r="F137" s="196" t="str">
        <f t="shared" si="7"/>
        <v/>
      </c>
      <c r="G137" s="197"/>
      <c r="H137" s="198"/>
      <c r="I137" s="196" t="str">
        <f t="shared" si="8"/>
        <v/>
      </c>
    </row>
    <row r="138" spans="1:9" s="196" customFormat="1" ht="17.399999999999999">
      <c r="A138" s="194"/>
      <c r="B138" s="195"/>
      <c r="C138" s="196" t="str">
        <f t="shared" si="6"/>
        <v/>
      </c>
      <c r="D138" s="197"/>
      <c r="E138" s="198"/>
      <c r="F138" s="196" t="str">
        <f t="shared" si="7"/>
        <v/>
      </c>
      <c r="G138" s="197"/>
      <c r="H138" s="198"/>
      <c r="I138" s="196" t="str">
        <f t="shared" si="8"/>
        <v/>
      </c>
    </row>
    <row r="139" spans="1:9" s="196" customFormat="1" ht="17.399999999999999">
      <c r="A139" s="194"/>
      <c r="B139" s="195"/>
      <c r="C139" s="196" t="str">
        <f t="shared" si="6"/>
        <v/>
      </c>
      <c r="D139" s="197"/>
      <c r="E139" s="198"/>
      <c r="F139" s="196" t="str">
        <f t="shared" si="7"/>
        <v/>
      </c>
      <c r="G139" s="197"/>
      <c r="H139" s="198"/>
      <c r="I139" s="196" t="str">
        <f t="shared" si="8"/>
        <v/>
      </c>
    </row>
    <row r="140" spans="1:9" s="196" customFormat="1" ht="17.399999999999999">
      <c r="A140" s="194"/>
      <c r="B140" s="195"/>
      <c r="C140" s="196" t="str">
        <f t="shared" si="6"/>
        <v/>
      </c>
      <c r="D140" s="197"/>
      <c r="E140" s="198"/>
      <c r="F140" s="196" t="str">
        <f t="shared" si="7"/>
        <v/>
      </c>
      <c r="G140" s="197"/>
      <c r="H140" s="198"/>
      <c r="I140" s="196" t="str">
        <f t="shared" si="8"/>
        <v/>
      </c>
    </row>
    <row r="141" spans="1:9" s="196" customFormat="1" ht="17.399999999999999">
      <c r="A141" s="194"/>
      <c r="B141" s="195"/>
      <c r="C141" s="196" t="str">
        <f t="shared" si="6"/>
        <v/>
      </c>
      <c r="D141" s="197"/>
      <c r="E141" s="198"/>
      <c r="F141" s="196" t="str">
        <f t="shared" si="7"/>
        <v/>
      </c>
      <c r="G141" s="197"/>
      <c r="H141" s="198"/>
      <c r="I141" s="196" t="str">
        <f t="shared" si="8"/>
        <v/>
      </c>
    </row>
    <row r="142" spans="1:9" s="196" customFormat="1" ht="17.399999999999999">
      <c r="A142" s="194"/>
      <c r="B142" s="195"/>
      <c r="C142" s="196" t="str">
        <f t="shared" si="6"/>
        <v/>
      </c>
      <c r="D142" s="197"/>
      <c r="E142" s="198"/>
      <c r="F142" s="196" t="str">
        <f t="shared" si="7"/>
        <v/>
      </c>
      <c r="G142" s="197"/>
      <c r="H142" s="198"/>
      <c r="I142" s="196" t="str">
        <f t="shared" si="8"/>
        <v/>
      </c>
    </row>
    <row r="143" spans="1:9" s="196" customFormat="1" ht="17.399999999999999">
      <c r="A143" s="194"/>
      <c r="B143" s="195"/>
      <c r="C143" s="196" t="str">
        <f t="shared" si="6"/>
        <v/>
      </c>
      <c r="D143" s="197"/>
      <c r="E143" s="198"/>
      <c r="F143" s="196" t="str">
        <f t="shared" si="7"/>
        <v/>
      </c>
      <c r="G143" s="197"/>
      <c r="H143" s="198"/>
      <c r="I143" s="196" t="str">
        <f t="shared" si="8"/>
        <v/>
      </c>
    </row>
    <row r="144" spans="1:9" s="196" customFormat="1" ht="17.399999999999999">
      <c r="A144" s="194"/>
      <c r="B144" s="195"/>
      <c r="C144" s="196" t="str">
        <f t="shared" si="6"/>
        <v/>
      </c>
      <c r="D144" s="197"/>
      <c r="E144" s="198"/>
      <c r="F144" s="196" t="str">
        <f t="shared" si="7"/>
        <v/>
      </c>
      <c r="G144" s="197"/>
      <c r="H144" s="198"/>
      <c r="I144" s="196" t="str">
        <f t="shared" si="8"/>
        <v/>
      </c>
    </row>
    <row r="145" spans="1:9" s="196" customFormat="1" ht="17.399999999999999">
      <c r="A145" s="194"/>
      <c r="B145" s="195"/>
      <c r="C145" s="196" t="str">
        <f t="shared" si="6"/>
        <v/>
      </c>
      <c r="D145" s="197"/>
      <c r="E145" s="198"/>
      <c r="F145" s="196" t="str">
        <f t="shared" si="7"/>
        <v/>
      </c>
      <c r="G145" s="197"/>
      <c r="H145" s="198"/>
      <c r="I145" s="196" t="str">
        <f t="shared" si="8"/>
        <v/>
      </c>
    </row>
    <row r="146" spans="1:9" s="196" customFormat="1" ht="17.399999999999999">
      <c r="A146" s="194"/>
      <c r="B146" s="195"/>
      <c r="C146" s="196" t="str">
        <f t="shared" si="6"/>
        <v/>
      </c>
      <c r="D146" s="197"/>
      <c r="E146" s="198"/>
      <c r="F146" s="196" t="str">
        <f t="shared" si="7"/>
        <v/>
      </c>
      <c r="G146" s="197"/>
      <c r="H146" s="198"/>
      <c r="I146" s="196" t="str">
        <f t="shared" si="8"/>
        <v/>
      </c>
    </row>
    <row r="147" spans="1:9" s="196" customFormat="1" ht="17.399999999999999">
      <c r="A147" s="194"/>
      <c r="B147" s="195"/>
      <c r="C147" s="196" t="str">
        <f t="shared" si="6"/>
        <v/>
      </c>
      <c r="D147" s="197"/>
      <c r="E147" s="198"/>
      <c r="F147" s="196" t="str">
        <f t="shared" si="7"/>
        <v/>
      </c>
      <c r="G147" s="197"/>
      <c r="H147" s="198"/>
      <c r="I147" s="196" t="str">
        <f t="shared" si="8"/>
        <v/>
      </c>
    </row>
    <row r="148" spans="1:9" s="196" customFormat="1" ht="17.399999999999999">
      <c r="A148" s="194"/>
      <c r="B148" s="195"/>
      <c r="C148" s="196" t="str">
        <f t="shared" si="6"/>
        <v/>
      </c>
      <c r="D148" s="197"/>
      <c r="E148" s="198"/>
      <c r="F148" s="196" t="str">
        <f t="shared" si="7"/>
        <v/>
      </c>
      <c r="G148" s="197"/>
      <c r="H148" s="198"/>
      <c r="I148" s="196" t="str">
        <f t="shared" si="8"/>
        <v/>
      </c>
    </row>
    <row r="149" spans="1:9" s="196" customFormat="1" ht="17.399999999999999">
      <c r="A149" s="194"/>
      <c r="B149" s="195"/>
      <c r="C149" s="196" t="str">
        <f t="shared" si="6"/>
        <v/>
      </c>
      <c r="D149" s="197"/>
      <c r="E149" s="198"/>
      <c r="F149" s="196" t="str">
        <f t="shared" si="7"/>
        <v/>
      </c>
      <c r="G149" s="197"/>
      <c r="H149" s="198"/>
      <c r="I149" s="196" t="str">
        <f t="shared" si="8"/>
        <v/>
      </c>
    </row>
    <row r="150" spans="1:9" s="196" customFormat="1" ht="17.399999999999999">
      <c r="A150" s="194"/>
      <c r="B150" s="195"/>
      <c r="C150" s="196" t="str">
        <f t="shared" si="6"/>
        <v/>
      </c>
      <c r="D150" s="197"/>
      <c r="E150" s="198"/>
      <c r="F150" s="196" t="str">
        <f t="shared" si="7"/>
        <v/>
      </c>
      <c r="G150" s="197"/>
      <c r="H150" s="198"/>
      <c r="I150" s="196" t="str">
        <f t="shared" si="8"/>
        <v/>
      </c>
    </row>
    <row r="151" spans="1:9" s="196" customFormat="1" ht="17.399999999999999">
      <c r="A151" s="194"/>
      <c r="B151" s="195"/>
      <c r="C151" s="196" t="str">
        <f t="shared" si="6"/>
        <v/>
      </c>
      <c r="D151" s="197"/>
      <c r="E151" s="198"/>
      <c r="F151" s="196" t="str">
        <f t="shared" si="7"/>
        <v/>
      </c>
      <c r="G151" s="197"/>
      <c r="H151" s="198"/>
      <c r="I151" s="196" t="str">
        <f t="shared" si="8"/>
        <v/>
      </c>
    </row>
    <row r="152" spans="1:9" s="196" customFormat="1" ht="17.399999999999999">
      <c r="A152" s="194"/>
      <c r="B152" s="195"/>
      <c r="C152" s="196" t="str">
        <f t="shared" si="6"/>
        <v/>
      </c>
      <c r="D152" s="197"/>
      <c r="E152" s="198"/>
      <c r="F152" s="196" t="str">
        <f t="shared" si="7"/>
        <v/>
      </c>
      <c r="G152" s="197"/>
      <c r="H152" s="198"/>
      <c r="I152" s="196" t="str">
        <f t="shared" si="8"/>
        <v/>
      </c>
    </row>
    <row r="153" spans="1:9" s="196" customFormat="1" ht="17.399999999999999">
      <c r="A153" s="194"/>
      <c r="B153" s="195"/>
      <c r="C153" s="196" t="str">
        <f t="shared" si="6"/>
        <v/>
      </c>
      <c r="D153" s="197"/>
      <c r="E153" s="198"/>
      <c r="F153" s="196" t="str">
        <f t="shared" si="7"/>
        <v/>
      </c>
      <c r="G153" s="197"/>
      <c r="H153" s="198"/>
      <c r="I153" s="196" t="str">
        <f t="shared" si="8"/>
        <v/>
      </c>
    </row>
    <row r="154" spans="1:9" s="196" customFormat="1" ht="17.399999999999999">
      <c r="A154" s="194"/>
      <c r="B154" s="195"/>
      <c r="C154" s="196" t="str">
        <f t="shared" si="6"/>
        <v/>
      </c>
      <c r="D154" s="197"/>
      <c r="E154" s="198"/>
      <c r="F154" s="196" t="str">
        <f t="shared" si="7"/>
        <v/>
      </c>
      <c r="G154" s="197"/>
      <c r="H154" s="198"/>
      <c r="I154" s="196" t="str">
        <f t="shared" si="8"/>
        <v/>
      </c>
    </row>
    <row r="155" spans="1:9" s="196" customFormat="1" ht="17.399999999999999">
      <c r="A155" s="194"/>
      <c r="B155" s="195"/>
      <c r="C155" s="196" t="str">
        <f t="shared" si="6"/>
        <v/>
      </c>
      <c r="D155" s="197"/>
      <c r="E155" s="198"/>
      <c r="F155" s="196" t="str">
        <f t="shared" si="7"/>
        <v/>
      </c>
      <c r="G155" s="197"/>
      <c r="H155" s="198"/>
      <c r="I155" s="196" t="str">
        <f t="shared" si="8"/>
        <v/>
      </c>
    </row>
    <row r="156" spans="1:9" s="196" customFormat="1" ht="17.399999999999999">
      <c r="A156" s="194"/>
      <c r="B156" s="195"/>
      <c r="C156" s="196" t="str">
        <f t="shared" si="6"/>
        <v/>
      </c>
      <c r="D156" s="197"/>
      <c r="E156" s="198"/>
      <c r="F156" s="196" t="str">
        <f t="shared" si="7"/>
        <v/>
      </c>
      <c r="G156" s="197"/>
      <c r="H156" s="198"/>
      <c r="I156" s="196" t="str">
        <f t="shared" si="8"/>
        <v/>
      </c>
    </row>
    <row r="157" spans="1:9" s="196" customFormat="1" ht="17.399999999999999">
      <c r="A157" s="194"/>
      <c r="B157" s="195"/>
      <c r="C157" s="196" t="str">
        <f t="shared" si="6"/>
        <v/>
      </c>
      <c r="D157" s="197"/>
      <c r="E157" s="198"/>
      <c r="F157" s="196" t="str">
        <f t="shared" si="7"/>
        <v/>
      </c>
      <c r="G157" s="197"/>
      <c r="H157" s="198"/>
      <c r="I157" s="196" t="str">
        <f t="shared" si="8"/>
        <v/>
      </c>
    </row>
    <row r="158" spans="1:9" s="196" customFormat="1" ht="17.399999999999999">
      <c r="A158" s="194"/>
      <c r="B158" s="195"/>
      <c r="C158" s="196" t="str">
        <f t="shared" si="6"/>
        <v/>
      </c>
      <c r="D158" s="197"/>
      <c r="E158" s="198"/>
      <c r="F158" s="196" t="str">
        <f t="shared" si="7"/>
        <v/>
      </c>
      <c r="G158" s="197"/>
      <c r="H158" s="198"/>
      <c r="I158" s="196" t="str">
        <f t="shared" si="8"/>
        <v/>
      </c>
    </row>
    <row r="159" spans="1:9" s="196" customFormat="1" ht="17.399999999999999">
      <c r="A159" s="194"/>
      <c r="B159" s="195"/>
      <c r="C159" s="196" t="str">
        <f t="shared" si="6"/>
        <v/>
      </c>
      <c r="D159" s="197"/>
      <c r="E159" s="198"/>
      <c r="F159" s="196" t="str">
        <f t="shared" si="7"/>
        <v/>
      </c>
      <c r="G159" s="197"/>
      <c r="H159" s="198"/>
      <c r="I159" s="196" t="str">
        <f t="shared" si="8"/>
        <v/>
      </c>
    </row>
    <row r="160" spans="1:9" s="196" customFormat="1" ht="17.399999999999999">
      <c r="A160" s="194"/>
      <c r="B160" s="195"/>
      <c r="C160" s="196" t="str">
        <f t="shared" si="6"/>
        <v/>
      </c>
      <c r="D160" s="197"/>
      <c r="E160" s="198"/>
      <c r="F160" s="196" t="str">
        <f t="shared" si="7"/>
        <v/>
      </c>
      <c r="G160" s="197"/>
      <c r="H160" s="198"/>
      <c r="I160" s="196" t="str">
        <f t="shared" si="8"/>
        <v/>
      </c>
    </row>
    <row r="161" spans="1:9" s="196" customFormat="1" ht="17.399999999999999">
      <c r="A161" s="194"/>
      <c r="B161" s="195"/>
      <c r="C161" s="196" t="str">
        <f t="shared" si="6"/>
        <v/>
      </c>
      <c r="D161" s="197"/>
      <c r="E161" s="198"/>
      <c r="F161" s="196" t="str">
        <f t="shared" si="7"/>
        <v/>
      </c>
      <c r="G161" s="197"/>
      <c r="H161" s="198"/>
      <c r="I161" s="196" t="str">
        <f t="shared" si="8"/>
        <v/>
      </c>
    </row>
    <row r="162" spans="1:9" s="196" customFormat="1" ht="17.399999999999999">
      <c r="A162" s="194"/>
      <c r="B162" s="195"/>
      <c r="C162" s="196" t="str">
        <f t="shared" si="6"/>
        <v/>
      </c>
      <c r="D162" s="197"/>
      <c r="E162" s="198"/>
      <c r="F162" s="196" t="str">
        <f t="shared" si="7"/>
        <v/>
      </c>
      <c r="G162" s="197"/>
      <c r="H162" s="198"/>
      <c r="I162" s="196" t="str">
        <f t="shared" si="8"/>
        <v/>
      </c>
    </row>
    <row r="163" spans="1:9" s="196" customFormat="1" ht="17.399999999999999">
      <c r="A163" s="194"/>
      <c r="B163" s="195"/>
      <c r="C163" s="196" t="str">
        <f t="shared" si="6"/>
        <v/>
      </c>
      <c r="D163" s="197"/>
      <c r="E163" s="198"/>
      <c r="F163" s="196" t="str">
        <f t="shared" si="7"/>
        <v/>
      </c>
      <c r="G163" s="197"/>
      <c r="H163" s="198"/>
      <c r="I163" s="196" t="str">
        <f t="shared" si="8"/>
        <v/>
      </c>
    </row>
    <row r="164" spans="1:9" s="196" customFormat="1" ht="17.399999999999999">
      <c r="A164" s="194"/>
      <c r="B164" s="195"/>
      <c r="C164" s="196" t="str">
        <f t="shared" si="6"/>
        <v/>
      </c>
      <c r="D164" s="197"/>
      <c r="E164" s="198"/>
      <c r="F164" s="196" t="str">
        <f t="shared" si="7"/>
        <v/>
      </c>
      <c r="G164" s="197"/>
      <c r="H164" s="198"/>
      <c r="I164" s="196" t="str">
        <f t="shared" si="8"/>
        <v/>
      </c>
    </row>
    <row r="165" spans="1:9" s="196" customFormat="1" ht="17.399999999999999">
      <c r="A165" s="194"/>
      <c r="B165" s="195"/>
      <c r="C165" s="196" t="str">
        <f t="shared" si="6"/>
        <v/>
      </c>
      <c r="D165" s="197"/>
      <c r="E165" s="198"/>
      <c r="F165" s="196" t="str">
        <f t="shared" si="7"/>
        <v/>
      </c>
      <c r="G165" s="197"/>
      <c r="H165" s="198"/>
      <c r="I165" s="196" t="str">
        <f t="shared" si="8"/>
        <v/>
      </c>
    </row>
    <row r="166" spans="1:9" s="196" customFormat="1" ht="17.399999999999999">
      <c r="A166" s="194"/>
      <c r="B166" s="195"/>
      <c r="C166" s="196" t="str">
        <f t="shared" si="6"/>
        <v/>
      </c>
      <c r="D166" s="197"/>
      <c r="E166" s="198"/>
      <c r="F166" s="196" t="str">
        <f t="shared" si="7"/>
        <v/>
      </c>
      <c r="G166" s="197"/>
      <c r="H166" s="198"/>
      <c r="I166" s="196" t="str">
        <f t="shared" si="8"/>
        <v/>
      </c>
    </row>
    <row r="167" spans="1:9" s="196" customFormat="1" ht="17.399999999999999">
      <c r="A167" s="194"/>
      <c r="B167" s="195"/>
      <c r="C167" s="196" t="str">
        <f t="shared" si="6"/>
        <v/>
      </c>
      <c r="D167" s="197"/>
      <c r="E167" s="198"/>
      <c r="F167" s="196" t="str">
        <f t="shared" si="7"/>
        <v/>
      </c>
      <c r="G167" s="197"/>
      <c r="H167" s="198"/>
      <c r="I167" s="196" t="str">
        <f t="shared" si="8"/>
        <v/>
      </c>
    </row>
    <row r="168" spans="1:9" s="196" customFormat="1" ht="17.399999999999999">
      <c r="A168" s="194"/>
      <c r="B168" s="195"/>
      <c r="C168" s="196" t="str">
        <f t="shared" si="6"/>
        <v/>
      </c>
      <c r="D168" s="197"/>
      <c r="E168" s="198"/>
      <c r="F168" s="196" t="str">
        <f t="shared" si="7"/>
        <v/>
      </c>
      <c r="G168" s="197"/>
      <c r="H168" s="198"/>
      <c r="I168" s="196" t="str">
        <f t="shared" si="8"/>
        <v/>
      </c>
    </row>
    <row r="169" spans="1:9" s="196" customFormat="1" ht="17.399999999999999">
      <c r="A169" s="194"/>
      <c r="B169" s="195"/>
      <c r="C169" s="196" t="str">
        <f t="shared" si="6"/>
        <v/>
      </c>
      <c r="D169" s="197"/>
      <c r="E169" s="198"/>
      <c r="F169" s="196" t="str">
        <f t="shared" si="7"/>
        <v/>
      </c>
      <c r="G169" s="197"/>
      <c r="H169" s="198"/>
      <c r="I169" s="196" t="str">
        <f t="shared" si="8"/>
        <v/>
      </c>
    </row>
    <row r="170" spans="1:9" s="196" customFormat="1" ht="17.399999999999999">
      <c r="A170" s="194"/>
      <c r="B170" s="195"/>
      <c r="C170" s="196" t="str">
        <f t="shared" si="6"/>
        <v/>
      </c>
      <c r="D170" s="197"/>
      <c r="E170" s="198"/>
      <c r="F170" s="196" t="str">
        <f t="shared" si="7"/>
        <v/>
      </c>
      <c r="G170" s="197"/>
      <c r="H170" s="198"/>
      <c r="I170" s="196" t="str">
        <f t="shared" si="8"/>
        <v/>
      </c>
    </row>
    <row r="171" spans="1:9" s="196" customFormat="1" ht="17.399999999999999">
      <c r="A171" s="194"/>
      <c r="B171" s="195"/>
      <c r="C171" s="196" t="str">
        <f t="shared" si="6"/>
        <v/>
      </c>
      <c r="D171" s="197"/>
      <c r="E171" s="198"/>
      <c r="F171" s="196" t="str">
        <f t="shared" si="7"/>
        <v/>
      </c>
      <c r="G171" s="197"/>
      <c r="H171" s="198"/>
      <c r="I171" s="196" t="str">
        <f t="shared" si="8"/>
        <v/>
      </c>
    </row>
    <row r="172" spans="1:9" s="196" customFormat="1" ht="17.399999999999999">
      <c r="A172" s="194"/>
      <c r="B172" s="195"/>
      <c r="C172" s="196" t="str">
        <f t="shared" si="6"/>
        <v/>
      </c>
      <c r="D172" s="197"/>
      <c r="E172" s="198"/>
      <c r="F172" s="196" t="str">
        <f t="shared" si="7"/>
        <v/>
      </c>
      <c r="G172" s="197"/>
      <c r="H172" s="198"/>
      <c r="I172" s="196" t="str">
        <f t="shared" si="8"/>
        <v/>
      </c>
    </row>
    <row r="173" spans="1:9" s="196" customFormat="1" ht="17.399999999999999">
      <c r="A173" s="194"/>
      <c r="B173" s="195"/>
      <c r="C173" s="196" t="str">
        <f t="shared" si="6"/>
        <v/>
      </c>
      <c r="D173" s="197"/>
      <c r="E173" s="198"/>
      <c r="F173" s="196" t="str">
        <f t="shared" si="7"/>
        <v/>
      </c>
      <c r="G173" s="197"/>
      <c r="H173" s="198"/>
      <c r="I173" s="196" t="str">
        <f t="shared" si="8"/>
        <v/>
      </c>
    </row>
    <row r="174" spans="1:9" s="196" customFormat="1" ht="17.399999999999999">
      <c r="A174" s="194"/>
      <c r="B174" s="195"/>
      <c r="C174" s="196" t="str">
        <f t="shared" si="6"/>
        <v/>
      </c>
      <c r="D174" s="197"/>
      <c r="E174" s="198"/>
      <c r="F174" s="196" t="str">
        <f t="shared" si="7"/>
        <v/>
      </c>
      <c r="G174" s="197"/>
      <c r="H174" s="198"/>
      <c r="I174" s="196" t="str">
        <f t="shared" si="8"/>
        <v/>
      </c>
    </row>
    <row r="175" spans="1:9" s="196" customFormat="1" ht="17.399999999999999">
      <c r="A175" s="194"/>
      <c r="B175" s="195"/>
      <c r="C175" s="196" t="str">
        <f t="shared" si="6"/>
        <v/>
      </c>
      <c r="D175" s="197"/>
      <c r="E175" s="198"/>
      <c r="F175" s="196" t="str">
        <f t="shared" si="7"/>
        <v/>
      </c>
      <c r="G175" s="197"/>
      <c r="H175" s="198"/>
      <c r="I175" s="196" t="str">
        <f t="shared" si="8"/>
        <v/>
      </c>
    </row>
    <row r="176" spans="1:9" s="196" customFormat="1" ht="17.399999999999999">
      <c r="A176" s="194"/>
      <c r="B176" s="195"/>
      <c r="C176" s="196" t="str">
        <f t="shared" si="6"/>
        <v/>
      </c>
      <c r="D176" s="197"/>
      <c r="E176" s="198"/>
      <c r="F176" s="196" t="str">
        <f t="shared" si="7"/>
        <v/>
      </c>
      <c r="G176" s="197"/>
      <c r="H176" s="198"/>
      <c r="I176" s="196" t="str">
        <f t="shared" si="8"/>
        <v/>
      </c>
    </row>
    <row r="177" spans="1:9" s="196" customFormat="1" ht="17.399999999999999">
      <c r="A177" s="194"/>
      <c r="B177" s="195"/>
      <c r="C177" s="196" t="str">
        <f t="shared" si="6"/>
        <v/>
      </c>
      <c r="D177" s="197"/>
      <c r="E177" s="198"/>
      <c r="F177" s="196" t="str">
        <f t="shared" si="7"/>
        <v/>
      </c>
      <c r="G177" s="197"/>
      <c r="H177" s="198"/>
      <c r="I177" s="196" t="str">
        <f t="shared" si="8"/>
        <v/>
      </c>
    </row>
    <row r="178" spans="1:9" s="196" customFormat="1" ht="17.399999999999999">
      <c r="A178" s="194"/>
      <c r="B178" s="195"/>
      <c r="C178" s="196" t="str">
        <f t="shared" si="6"/>
        <v/>
      </c>
      <c r="D178" s="197"/>
      <c r="E178" s="198"/>
      <c r="F178" s="196" t="str">
        <f t="shared" si="7"/>
        <v/>
      </c>
      <c r="G178" s="197"/>
      <c r="H178" s="198"/>
      <c r="I178" s="196" t="str">
        <f t="shared" si="8"/>
        <v/>
      </c>
    </row>
    <row r="179" spans="1:9" s="196" customFormat="1" ht="17.399999999999999">
      <c r="A179" s="194"/>
      <c r="B179" s="195"/>
      <c r="C179" s="196" t="str">
        <f t="shared" si="6"/>
        <v/>
      </c>
      <c r="D179" s="197"/>
      <c r="E179" s="198"/>
      <c r="F179" s="196" t="str">
        <f t="shared" si="7"/>
        <v/>
      </c>
      <c r="G179" s="197"/>
      <c r="H179" s="198"/>
      <c r="I179" s="196" t="str">
        <f t="shared" si="8"/>
        <v/>
      </c>
    </row>
    <row r="180" spans="1:9" s="196" customFormat="1" ht="17.399999999999999">
      <c r="A180" s="194"/>
      <c r="B180" s="195"/>
      <c r="C180" s="196" t="str">
        <f t="shared" si="6"/>
        <v/>
      </c>
      <c r="D180" s="197"/>
      <c r="E180" s="198"/>
      <c r="F180" s="196" t="str">
        <f t="shared" si="7"/>
        <v/>
      </c>
      <c r="G180" s="197"/>
      <c r="H180" s="198"/>
      <c r="I180" s="196" t="str">
        <f t="shared" si="8"/>
        <v/>
      </c>
    </row>
    <row r="181" spans="1:9" s="196" customFormat="1" ht="17.399999999999999">
      <c r="A181" s="194"/>
      <c r="B181" s="195"/>
      <c r="C181" s="196" t="str">
        <f t="shared" si="6"/>
        <v/>
      </c>
      <c r="D181" s="197"/>
      <c r="E181" s="198"/>
      <c r="F181" s="196" t="str">
        <f t="shared" si="7"/>
        <v/>
      </c>
      <c r="G181" s="197"/>
      <c r="H181" s="198"/>
      <c r="I181" s="196" t="str">
        <f t="shared" si="8"/>
        <v/>
      </c>
    </row>
    <row r="182" spans="1:9" s="196" customFormat="1" ht="17.399999999999999">
      <c r="A182" s="194"/>
      <c r="B182" s="195"/>
      <c r="C182" s="196" t="str">
        <f t="shared" si="6"/>
        <v/>
      </c>
      <c r="D182" s="197"/>
      <c r="E182" s="198"/>
      <c r="F182" s="196" t="str">
        <f t="shared" si="7"/>
        <v/>
      </c>
      <c r="G182" s="197"/>
      <c r="H182" s="198"/>
      <c r="I182" s="196" t="str">
        <f t="shared" si="8"/>
        <v/>
      </c>
    </row>
    <row r="183" spans="1:9" s="196" customFormat="1" ht="17.399999999999999">
      <c r="A183" s="194"/>
      <c r="B183" s="195"/>
      <c r="C183" s="196" t="str">
        <f t="shared" si="6"/>
        <v/>
      </c>
      <c r="D183" s="197"/>
      <c r="E183" s="198"/>
      <c r="F183" s="196" t="str">
        <f t="shared" si="7"/>
        <v/>
      </c>
      <c r="G183" s="197"/>
      <c r="H183" s="198"/>
      <c r="I183" s="196" t="str">
        <f t="shared" si="8"/>
        <v/>
      </c>
    </row>
    <row r="184" spans="1:9" s="196" customFormat="1" ht="17.399999999999999">
      <c r="A184" s="194"/>
      <c r="B184" s="195"/>
      <c r="C184" s="196" t="str">
        <f t="shared" si="6"/>
        <v/>
      </c>
      <c r="D184" s="197"/>
      <c r="E184" s="198"/>
      <c r="F184" s="196" t="str">
        <f t="shared" si="7"/>
        <v/>
      </c>
      <c r="G184" s="197"/>
      <c r="H184" s="198"/>
      <c r="I184" s="196" t="str">
        <f t="shared" si="8"/>
        <v/>
      </c>
    </row>
    <row r="185" spans="1:9" s="196" customFormat="1" ht="17.399999999999999">
      <c r="A185" s="194"/>
      <c r="B185" s="195"/>
      <c r="C185" s="196" t="str">
        <f t="shared" si="6"/>
        <v/>
      </c>
      <c r="D185" s="197"/>
      <c r="E185" s="198"/>
      <c r="F185" s="196" t="str">
        <f t="shared" si="7"/>
        <v/>
      </c>
      <c r="G185" s="197"/>
      <c r="H185" s="198"/>
      <c r="I185" s="196" t="str">
        <f t="shared" si="8"/>
        <v/>
      </c>
    </row>
    <row r="186" spans="1:9" s="196" customFormat="1" ht="17.399999999999999">
      <c r="A186" s="194"/>
      <c r="B186" s="195"/>
      <c r="C186" s="196" t="str">
        <f t="shared" si="6"/>
        <v/>
      </c>
      <c r="D186" s="197"/>
      <c r="E186" s="198"/>
      <c r="F186" s="196" t="str">
        <f t="shared" si="7"/>
        <v/>
      </c>
      <c r="G186" s="197"/>
      <c r="H186" s="198"/>
      <c r="I186" s="196" t="str">
        <f t="shared" si="8"/>
        <v/>
      </c>
    </row>
    <row r="187" spans="1:9" s="196" customFormat="1" ht="17.399999999999999">
      <c r="A187" s="194"/>
      <c r="B187" s="195"/>
      <c r="C187" s="196" t="str">
        <f t="shared" si="6"/>
        <v/>
      </c>
      <c r="D187" s="197"/>
      <c r="E187" s="198"/>
      <c r="F187" s="196" t="str">
        <f t="shared" si="7"/>
        <v/>
      </c>
      <c r="G187" s="197"/>
      <c r="H187" s="198"/>
      <c r="I187" s="196" t="str">
        <f t="shared" si="8"/>
        <v/>
      </c>
    </row>
    <row r="188" spans="1:9" s="196" customFormat="1" ht="17.399999999999999">
      <c r="A188" s="194"/>
      <c r="B188" s="195"/>
      <c r="C188" s="196" t="str">
        <f t="shared" si="6"/>
        <v/>
      </c>
      <c r="D188" s="197"/>
      <c r="E188" s="198"/>
      <c r="F188" s="196" t="str">
        <f t="shared" si="7"/>
        <v/>
      </c>
      <c r="G188" s="197"/>
      <c r="H188" s="198"/>
      <c r="I188" s="196" t="str">
        <f t="shared" si="8"/>
        <v/>
      </c>
    </row>
    <row r="189" spans="1:9" s="196" customFormat="1" ht="17.399999999999999">
      <c r="A189" s="194"/>
      <c r="B189" s="195"/>
      <c r="C189" s="196" t="str">
        <f t="shared" si="6"/>
        <v/>
      </c>
      <c r="D189" s="197"/>
      <c r="E189" s="198"/>
      <c r="F189" s="196" t="str">
        <f t="shared" si="7"/>
        <v/>
      </c>
      <c r="G189" s="197"/>
      <c r="H189" s="198"/>
      <c r="I189" s="196" t="str">
        <f t="shared" si="8"/>
        <v/>
      </c>
    </row>
    <row r="190" spans="1:9" s="196" customFormat="1" ht="17.399999999999999">
      <c r="A190" s="194"/>
      <c r="B190" s="195"/>
      <c r="C190" s="196" t="str">
        <f t="shared" si="6"/>
        <v/>
      </c>
      <c r="D190" s="197"/>
      <c r="E190" s="198"/>
      <c r="F190" s="196" t="str">
        <f t="shared" si="7"/>
        <v/>
      </c>
      <c r="G190" s="197"/>
      <c r="H190" s="198"/>
      <c r="I190" s="196" t="str">
        <f t="shared" si="8"/>
        <v/>
      </c>
    </row>
    <row r="191" spans="1:9" s="196" customFormat="1" ht="17.399999999999999">
      <c r="A191" s="194"/>
      <c r="B191" s="195"/>
      <c r="C191" s="196" t="str">
        <f t="shared" si="6"/>
        <v/>
      </c>
      <c r="D191" s="197"/>
      <c r="E191" s="198"/>
      <c r="F191" s="196" t="str">
        <f t="shared" si="7"/>
        <v/>
      </c>
      <c r="G191" s="197"/>
      <c r="H191" s="198"/>
      <c r="I191" s="196" t="str">
        <f t="shared" si="8"/>
        <v/>
      </c>
    </row>
    <row r="192" spans="1:9" s="196" customFormat="1" ht="17.399999999999999">
      <c r="A192" s="194"/>
      <c r="B192" s="195"/>
      <c r="C192" s="196" t="str">
        <f t="shared" si="6"/>
        <v/>
      </c>
      <c r="D192" s="197"/>
      <c r="E192" s="198"/>
      <c r="F192" s="196" t="str">
        <f t="shared" si="7"/>
        <v/>
      </c>
      <c r="G192" s="197"/>
      <c r="H192" s="198"/>
      <c r="I192" s="196" t="str">
        <f t="shared" si="8"/>
        <v/>
      </c>
    </row>
    <row r="193" spans="1:9" s="196" customFormat="1" ht="17.399999999999999">
      <c r="A193" s="194"/>
      <c r="B193" s="195"/>
      <c r="C193" s="196" t="str">
        <f t="shared" si="6"/>
        <v/>
      </c>
      <c r="D193" s="197"/>
      <c r="E193" s="198"/>
      <c r="F193" s="196" t="str">
        <f t="shared" si="7"/>
        <v/>
      </c>
      <c r="G193" s="197"/>
      <c r="H193" s="198"/>
      <c r="I193" s="196" t="str">
        <f t="shared" si="8"/>
        <v/>
      </c>
    </row>
    <row r="194" spans="1:9" s="196" customFormat="1" ht="17.399999999999999">
      <c r="A194" s="194"/>
      <c r="B194" s="195"/>
      <c r="C194" s="196" t="str">
        <f t="shared" si="6"/>
        <v/>
      </c>
      <c r="D194" s="197"/>
      <c r="E194" s="198"/>
      <c r="F194" s="196" t="str">
        <f t="shared" si="7"/>
        <v/>
      </c>
      <c r="G194" s="197"/>
      <c r="H194" s="198"/>
      <c r="I194" s="196" t="str">
        <f t="shared" si="8"/>
        <v/>
      </c>
    </row>
    <row r="195" spans="1:9" s="196" customFormat="1" ht="17.399999999999999">
      <c r="A195" s="194"/>
      <c r="B195" s="195"/>
      <c r="C195" s="196" t="str">
        <f t="shared" si="6"/>
        <v/>
      </c>
      <c r="D195" s="197"/>
      <c r="E195" s="198"/>
      <c r="F195" s="196" t="str">
        <f t="shared" si="7"/>
        <v/>
      </c>
      <c r="G195" s="197"/>
      <c r="H195" s="198"/>
      <c r="I195" s="196" t="str">
        <f t="shared" si="8"/>
        <v/>
      </c>
    </row>
    <row r="196" spans="1:9" s="196" customFormat="1" ht="17.399999999999999">
      <c r="A196" s="194"/>
      <c r="B196" s="195"/>
      <c r="C196" s="196" t="str">
        <f t="shared" si="6"/>
        <v/>
      </c>
      <c r="D196" s="197"/>
      <c r="E196" s="198"/>
      <c r="F196" s="196" t="str">
        <f t="shared" si="7"/>
        <v/>
      </c>
      <c r="G196" s="197"/>
      <c r="H196" s="198"/>
      <c r="I196" s="196" t="str">
        <f t="shared" si="8"/>
        <v/>
      </c>
    </row>
    <row r="197" spans="1:9" s="196" customFormat="1" ht="17.399999999999999">
      <c r="A197" s="194"/>
      <c r="B197" s="195"/>
      <c r="C197" s="196" t="str">
        <f t="shared" ref="C197:C260" si="9">IF(B197&gt;0,TEXT(B197,"(aaa)"),"")</f>
        <v/>
      </c>
      <c r="D197" s="197"/>
      <c r="E197" s="198"/>
      <c r="F197" s="196" t="str">
        <f t="shared" ref="F197:F260" si="10">IF(E197&gt;0,TEXT(E197,"(aaa)"),"")</f>
        <v/>
      </c>
      <c r="G197" s="197"/>
      <c r="H197" s="198"/>
      <c r="I197" s="196" t="str">
        <f t="shared" ref="I197:I260" si="11">IF(H197&gt;0,TEXT(H197,"(aaa)"),"")</f>
        <v/>
      </c>
    </row>
    <row r="198" spans="1:9" s="196" customFormat="1" ht="17.399999999999999">
      <c r="A198" s="194"/>
      <c r="B198" s="195"/>
      <c r="C198" s="196" t="str">
        <f t="shared" si="9"/>
        <v/>
      </c>
      <c r="D198" s="197"/>
      <c r="E198" s="198"/>
      <c r="F198" s="196" t="str">
        <f t="shared" si="10"/>
        <v/>
      </c>
      <c r="G198" s="197"/>
      <c r="H198" s="198"/>
      <c r="I198" s="196" t="str">
        <f t="shared" si="11"/>
        <v/>
      </c>
    </row>
    <row r="199" spans="1:9" s="196" customFormat="1" ht="17.399999999999999">
      <c r="A199" s="194"/>
      <c r="B199" s="195"/>
      <c r="C199" s="196" t="str">
        <f t="shared" si="9"/>
        <v/>
      </c>
      <c r="D199" s="197"/>
      <c r="E199" s="198"/>
      <c r="F199" s="196" t="str">
        <f t="shared" si="10"/>
        <v/>
      </c>
      <c r="G199" s="197"/>
      <c r="H199" s="198"/>
      <c r="I199" s="196" t="str">
        <f t="shared" si="11"/>
        <v/>
      </c>
    </row>
    <row r="200" spans="1:9" s="196" customFormat="1" ht="17.399999999999999">
      <c r="A200" s="194"/>
      <c r="B200" s="195"/>
      <c r="C200" s="196" t="str">
        <f t="shared" si="9"/>
        <v/>
      </c>
      <c r="D200" s="197"/>
      <c r="E200" s="198"/>
      <c r="F200" s="196" t="str">
        <f t="shared" si="10"/>
        <v/>
      </c>
      <c r="G200" s="197"/>
      <c r="H200" s="198"/>
      <c r="I200" s="196" t="str">
        <f t="shared" si="11"/>
        <v/>
      </c>
    </row>
    <row r="201" spans="1:9" s="196" customFormat="1" ht="17.399999999999999">
      <c r="A201" s="194"/>
      <c r="B201" s="195"/>
      <c r="C201" s="196" t="str">
        <f t="shared" si="9"/>
        <v/>
      </c>
      <c r="D201" s="197"/>
      <c r="E201" s="198"/>
      <c r="F201" s="196" t="str">
        <f t="shared" si="10"/>
        <v/>
      </c>
      <c r="G201" s="197"/>
      <c r="H201" s="198"/>
      <c r="I201" s="196" t="str">
        <f t="shared" si="11"/>
        <v/>
      </c>
    </row>
    <row r="202" spans="1:9" s="196" customFormat="1" ht="17.399999999999999">
      <c r="A202" s="194"/>
      <c r="B202" s="195"/>
      <c r="C202" s="196" t="str">
        <f t="shared" si="9"/>
        <v/>
      </c>
      <c r="D202" s="197"/>
      <c r="E202" s="198"/>
      <c r="F202" s="196" t="str">
        <f t="shared" si="10"/>
        <v/>
      </c>
      <c r="G202" s="197"/>
      <c r="H202" s="198"/>
      <c r="I202" s="196" t="str">
        <f t="shared" si="11"/>
        <v/>
      </c>
    </row>
    <row r="203" spans="1:9" s="196" customFormat="1" ht="17.399999999999999">
      <c r="A203" s="194"/>
      <c r="B203" s="195"/>
      <c r="C203" s="196" t="str">
        <f t="shared" si="9"/>
        <v/>
      </c>
      <c r="D203" s="197"/>
      <c r="E203" s="198"/>
      <c r="F203" s="196" t="str">
        <f t="shared" si="10"/>
        <v/>
      </c>
      <c r="G203" s="197"/>
      <c r="H203" s="198"/>
      <c r="I203" s="196" t="str">
        <f t="shared" si="11"/>
        <v/>
      </c>
    </row>
    <row r="204" spans="1:9" s="196" customFormat="1" ht="17.399999999999999">
      <c r="A204" s="194"/>
      <c r="B204" s="195"/>
      <c r="C204" s="196" t="str">
        <f t="shared" si="9"/>
        <v/>
      </c>
      <c r="D204" s="197"/>
      <c r="E204" s="198"/>
      <c r="F204" s="196" t="str">
        <f t="shared" si="10"/>
        <v/>
      </c>
      <c r="G204" s="197"/>
      <c r="H204" s="198"/>
      <c r="I204" s="196" t="str">
        <f t="shared" si="11"/>
        <v/>
      </c>
    </row>
    <row r="205" spans="1:9" s="196" customFormat="1" ht="17.399999999999999">
      <c r="A205" s="194"/>
      <c r="B205" s="195"/>
      <c r="C205" s="196" t="str">
        <f t="shared" si="9"/>
        <v/>
      </c>
      <c r="D205" s="197"/>
      <c r="E205" s="198"/>
      <c r="F205" s="196" t="str">
        <f t="shared" si="10"/>
        <v/>
      </c>
      <c r="G205" s="197"/>
      <c r="H205" s="198"/>
      <c r="I205" s="196" t="str">
        <f t="shared" si="11"/>
        <v/>
      </c>
    </row>
    <row r="206" spans="1:9" s="196" customFormat="1" ht="17.399999999999999">
      <c r="A206" s="194"/>
      <c r="B206" s="195"/>
      <c r="C206" s="196" t="str">
        <f t="shared" si="9"/>
        <v/>
      </c>
      <c r="D206" s="197"/>
      <c r="E206" s="198"/>
      <c r="F206" s="196" t="str">
        <f t="shared" si="10"/>
        <v/>
      </c>
      <c r="G206" s="197"/>
      <c r="H206" s="198"/>
      <c r="I206" s="196" t="str">
        <f t="shared" si="11"/>
        <v/>
      </c>
    </row>
    <row r="207" spans="1:9" s="196" customFormat="1" ht="17.399999999999999">
      <c r="A207" s="194"/>
      <c r="B207" s="195"/>
      <c r="C207" s="196" t="str">
        <f t="shared" si="9"/>
        <v/>
      </c>
      <c r="D207" s="197"/>
      <c r="E207" s="198"/>
      <c r="F207" s="196" t="str">
        <f t="shared" si="10"/>
        <v/>
      </c>
      <c r="G207" s="197"/>
      <c r="H207" s="198"/>
      <c r="I207" s="196" t="str">
        <f t="shared" si="11"/>
        <v/>
      </c>
    </row>
    <row r="208" spans="1:9" s="196" customFormat="1" ht="17.399999999999999">
      <c r="A208" s="194"/>
      <c r="B208" s="195"/>
      <c r="C208" s="196" t="str">
        <f t="shared" si="9"/>
        <v/>
      </c>
      <c r="D208" s="197"/>
      <c r="E208" s="198"/>
      <c r="F208" s="196" t="str">
        <f t="shared" si="10"/>
        <v/>
      </c>
      <c r="G208" s="197"/>
      <c r="H208" s="198"/>
      <c r="I208" s="196" t="str">
        <f t="shared" si="11"/>
        <v/>
      </c>
    </row>
    <row r="209" spans="1:9" s="196" customFormat="1" ht="17.399999999999999">
      <c r="A209" s="194"/>
      <c r="B209" s="195"/>
      <c r="C209" s="196" t="str">
        <f t="shared" si="9"/>
        <v/>
      </c>
      <c r="D209" s="197"/>
      <c r="E209" s="198"/>
      <c r="F209" s="196" t="str">
        <f t="shared" si="10"/>
        <v/>
      </c>
      <c r="G209" s="197"/>
      <c r="H209" s="198"/>
      <c r="I209" s="196" t="str">
        <f t="shared" si="11"/>
        <v/>
      </c>
    </row>
    <row r="210" spans="1:9" s="196" customFormat="1" ht="17.399999999999999">
      <c r="A210" s="194"/>
      <c r="B210" s="195"/>
      <c r="C210" s="196" t="str">
        <f t="shared" si="9"/>
        <v/>
      </c>
      <c r="D210" s="197"/>
      <c r="E210" s="198"/>
      <c r="F210" s="196" t="str">
        <f t="shared" si="10"/>
        <v/>
      </c>
      <c r="G210" s="197"/>
      <c r="H210" s="198"/>
      <c r="I210" s="196" t="str">
        <f t="shared" si="11"/>
        <v/>
      </c>
    </row>
    <row r="211" spans="1:9" s="196" customFormat="1" ht="17.399999999999999">
      <c r="A211" s="194"/>
      <c r="B211" s="195"/>
      <c r="C211" s="196" t="str">
        <f t="shared" si="9"/>
        <v/>
      </c>
      <c r="D211" s="197"/>
      <c r="E211" s="198"/>
      <c r="F211" s="196" t="str">
        <f t="shared" si="10"/>
        <v/>
      </c>
      <c r="G211" s="197"/>
      <c r="H211" s="198"/>
      <c r="I211" s="196" t="str">
        <f t="shared" si="11"/>
        <v/>
      </c>
    </row>
    <row r="212" spans="1:9" s="196" customFormat="1" ht="17.399999999999999">
      <c r="A212" s="194"/>
      <c r="B212" s="195"/>
      <c r="C212" s="196" t="str">
        <f t="shared" si="9"/>
        <v/>
      </c>
      <c r="D212" s="197"/>
      <c r="E212" s="198"/>
      <c r="F212" s="196" t="str">
        <f t="shared" si="10"/>
        <v/>
      </c>
      <c r="G212" s="197"/>
      <c r="H212" s="198"/>
      <c r="I212" s="196" t="str">
        <f t="shared" si="11"/>
        <v/>
      </c>
    </row>
    <row r="213" spans="1:9" s="196" customFormat="1" ht="17.399999999999999">
      <c r="A213" s="194"/>
      <c r="B213" s="195"/>
      <c r="C213" s="196" t="str">
        <f t="shared" si="9"/>
        <v/>
      </c>
      <c r="D213" s="197"/>
      <c r="E213" s="198"/>
      <c r="F213" s="196" t="str">
        <f t="shared" si="10"/>
        <v/>
      </c>
      <c r="G213" s="197"/>
      <c r="H213" s="198"/>
      <c r="I213" s="196" t="str">
        <f t="shared" si="11"/>
        <v/>
      </c>
    </row>
    <row r="214" spans="1:9" s="196" customFormat="1" ht="17.399999999999999">
      <c r="A214" s="194"/>
      <c r="B214" s="195"/>
      <c r="C214" s="196" t="str">
        <f t="shared" si="9"/>
        <v/>
      </c>
      <c r="D214" s="197"/>
      <c r="E214" s="198"/>
      <c r="F214" s="196" t="str">
        <f t="shared" si="10"/>
        <v/>
      </c>
      <c r="G214" s="197"/>
      <c r="H214" s="198"/>
      <c r="I214" s="196" t="str">
        <f t="shared" si="11"/>
        <v/>
      </c>
    </row>
    <row r="215" spans="1:9" s="196" customFormat="1" ht="17.399999999999999">
      <c r="A215" s="194"/>
      <c r="B215" s="195"/>
      <c r="C215" s="196" t="str">
        <f t="shared" si="9"/>
        <v/>
      </c>
      <c r="D215" s="197"/>
      <c r="E215" s="198"/>
      <c r="F215" s="196" t="str">
        <f t="shared" si="10"/>
        <v/>
      </c>
      <c r="G215" s="197"/>
      <c r="H215" s="198"/>
      <c r="I215" s="196" t="str">
        <f t="shared" si="11"/>
        <v/>
      </c>
    </row>
    <row r="216" spans="1:9" s="196" customFormat="1" ht="17.399999999999999">
      <c r="A216" s="194"/>
      <c r="B216" s="195"/>
      <c r="C216" s="196" t="str">
        <f t="shared" si="9"/>
        <v/>
      </c>
      <c r="D216" s="197"/>
      <c r="E216" s="198"/>
      <c r="F216" s="196" t="str">
        <f t="shared" si="10"/>
        <v/>
      </c>
      <c r="G216" s="197"/>
      <c r="H216" s="198"/>
      <c r="I216" s="196" t="str">
        <f t="shared" si="11"/>
        <v/>
      </c>
    </row>
    <row r="217" spans="1:9" s="196" customFormat="1" ht="17.399999999999999">
      <c r="A217" s="194"/>
      <c r="B217" s="195"/>
      <c r="C217" s="196" t="str">
        <f t="shared" si="9"/>
        <v/>
      </c>
      <c r="D217" s="197"/>
      <c r="E217" s="198"/>
      <c r="F217" s="196" t="str">
        <f t="shared" si="10"/>
        <v/>
      </c>
      <c r="G217" s="197"/>
      <c r="H217" s="198"/>
      <c r="I217" s="196" t="str">
        <f t="shared" si="11"/>
        <v/>
      </c>
    </row>
    <row r="218" spans="1:9" s="196" customFormat="1" ht="17.399999999999999">
      <c r="A218" s="194"/>
      <c r="B218" s="195"/>
      <c r="C218" s="196" t="str">
        <f t="shared" si="9"/>
        <v/>
      </c>
      <c r="D218" s="197"/>
      <c r="E218" s="198"/>
      <c r="F218" s="196" t="str">
        <f t="shared" si="10"/>
        <v/>
      </c>
      <c r="G218" s="197"/>
      <c r="H218" s="198"/>
      <c r="I218" s="196" t="str">
        <f t="shared" si="11"/>
        <v/>
      </c>
    </row>
    <row r="219" spans="1:9" s="196" customFormat="1" ht="17.399999999999999">
      <c r="A219" s="194"/>
      <c r="B219" s="195"/>
      <c r="C219" s="196" t="str">
        <f t="shared" si="9"/>
        <v/>
      </c>
      <c r="D219" s="197"/>
      <c r="E219" s="198"/>
      <c r="F219" s="196" t="str">
        <f t="shared" si="10"/>
        <v/>
      </c>
      <c r="G219" s="197"/>
      <c r="H219" s="198"/>
      <c r="I219" s="196" t="str">
        <f t="shared" si="11"/>
        <v/>
      </c>
    </row>
    <row r="220" spans="1:9" s="196" customFormat="1" ht="17.399999999999999">
      <c r="A220" s="194"/>
      <c r="B220" s="195"/>
      <c r="C220" s="196" t="str">
        <f t="shared" si="9"/>
        <v/>
      </c>
      <c r="D220" s="197"/>
      <c r="E220" s="198"/>
      <c r="F220" s="196" t="str">
        <f t="shared" si="10"/>
        <v/>
      </c>
      <c r="G220" s="197"/>
      <c r="H220" s="198"/>
      <c r="I220" s="196" t="str">
        <f t="shared" si="11"/>
        <v/>
      </c>
    </row>
    <row r="221" spans="1:9" s="196" customFormat="1" ht="17.399999999999999">
      <c r="A221" s="194"/>
      <c r="B221" s="195"/>
      <c r="C221" s="196" t="str">
        <f t="shared" si="9"/>
        <v/>
      </c>
      <c r="D221" s="197"/>
      <c r="E221" s="198"/>
      <c r="F221" s="196" t="str">
        <f t="shared" si="10"/>
        <v/>
      </c>
      <c r="G221" s="197"/>
      <c r="H221" s="198"/>
      <c r="I221" s="196" t="str">
        <f t="shared" si="11"/>
        <v/>
      </c>
    </row>
    <row r="222" spans="1:9" s="196" customFormat="1" ht="17.399999999999999">
      <c r="A222" s="194"/>
      <c r="B222" s="195"/>
      <c r="C222" s="196" t="str">
        <f t="shared" si="9"/>
        <v/>
      </c>
      <c r="D222" s="197"/>
      <c r="E222" s="198"/>
      <c r="F222" s="196" t="str">
        <f t="shared" si="10"/>
        <v/>
      </c>
      <c r="G222" s="197"/>
      <c r="H222" s="198"/>
      <c r="I222" s="196" t="str">
        <f t="shared" si="11"/>
        <v/>
      </c>
    </row>
    <row r="223" spans="1:9" s="196" customFormat="1" ht="17.399999999999999">
      <c r="A223" s="194"/>
      <c r="B223" s="195"/>
      <c r="C223" s="196" t="str">
        <f t="shared" si="9"/>
        <v/>
      </c>
      <c r="D223" s="197"/>
      <c r="E223" s="198"/>
      <c r="F223" s="196" t="str">
        <f t="shared" si="10"/>
        <v/>
      </c>
      <c r="G223" s="197"/>
      <c r="H223" s="198"/>
      <c r="I223" s="196" t="str">
        <f t="shared" si="11"/>
        <v/>
      </c>
    </row>
    <row r="224" spans="1:9" s="196" customFormat="1" ht="17.399999999999999">
      <c r="A224" s="194"/>
      <c r="B224" s="195"/>
      <c r="C224" s="196" t="str">
        <f t="shared" si="9"/>
        <v/>
      </c>
      <c r="D224" s="197"/>
      <c r="E224" s="198"/>
      <c r="F224" s="196" t="str">
        <f t="shared" si="10"/>
        <v/>
      </c>
      <c r="G224" s="197"/>
      <c r="H224" s="198"/>
      <c r="I224" s="196" t="str">
        <f t="shared" si="11"/>
        <v/>
      </c>
    </row>
    <row r="225" spans="1:9" s="196" customFormat="1" ht="17.399999999999999">
      <c r="A225" s="194"/>
      <c r="B225" s="195"/>
      <c r="C225" s="196" t="str">
        <f t="shared" si="9"/>
        <v/>
      </c>
      <c r="D225" s="197"/>
      <c r="E225" s="198"/>
      <c r="F225" s="196" t="str">
        <f t="shared" si="10"/>
        <v/>
      </c>
      <c r="G225" s="197"/>
      <c r="H225" s="198"/>
      <c r="I225" s="196" t="str">
        <f t="shared" si="11"/>
        <v/>
      </c>
    </row>
    <row r="226" spans="1:9" s="196" customFormat="1" ht="17.399999999999999">
      <c r="A226" s="194"/>
      <c r="B226" s="195"/>
      <c r="C226" s="196" t="str">
        <f t="shared" si="9"/>
        <v/>
      </c>
      <c r="D226" s="197"/>
      <c r="E226" s="198"/>
      <c r="F226" s="196" t="str">
        <f t="shared" si="10"/>
        <v/>
      </c>
      <c r="G226" s="197"/>
      <c r="H226" s="198"/>
      <c r="I226" s="196" t="str">
        <f t="shared" si="11"/>
        <v/>
      </c>
    </row>
    <row r="227" spans="1:9" s="196" customFormat="1" ht="17.399999999999999">
      <c r="A227" s="194"/>
      <c r="B227" s="195"/>
      <c r="C227" s="196" t="str">
        <f t="shared" si="9"/>
        <v/>
      </c>
      <c r="D227" s="197"/>
      <c r="E227" s="198"/>
      <c r="F227" s="196" t="str">
        <f t="shared" si="10"/>
        <v/>
      </c>
      <c r="G227" s="197"/>
      <c r="H227" s="198"/>
      <c r="I227" s="196" t="str">
        <f t="shared" si="11"/>
        <v/>
      </c>
    </row>
    <row r="228" spans="1:9" s="196" customFormat="1" ht="17.399999999999999">
      <c r="A228" s="194"/>
      <c r="B228" s="195"/>
      <c r="C228" s="196" t="str">
        <f t="shared" si="9"/>
        <v/>
      </c>
      <c r="D228" s="197"/>
      <c r="E228" s="198"/>
      <c r="F228" s="196" t="str">
        <f t="shared" si="10"/>
        <v/>
      </c>
      <c r="G228" s="197"/>
      <c r="H228" s="198"/>
      <c r="I228" s="196" t="str">
        <f t="shared" si="11"/>
        <v/>
      </c>
    </row>
    <row r="229" spans="1:9" s="196" customFormat="1" ht="17.399999999999999">
      <c r="A229" s="194"/>
      <c r="B229" s="195"/>
      <c r="C229" s="196" t="str">
        <f t="shared" si="9"/>
        <v/>
      </c>
      <c r="D229" s="197"/>
      <c r="E229" s="198"/>
      <c r="F229" s="196" t="str">
        <f t="shared" si="10"/>
        <v/>
      </c>
      <c r="G229" s="197"/>
      <c r="H229" s="198"/>
      <c r="I229" s="196" t="str">
        <f t="shared" si="11"/>
        <v/>
      </c>
    </row>
    <row r="230" spans="1:9" s="196" customFormat="1" ht="17.399999999999999">
      <c r="A230" s="194"/>
      <c r="B230" s="195"/>
      <c r="C230" s="196" t="str">
        <f t="shared" si="9"/>
        <v/>
      </c>
      <c r="D230" s="197"/>
      <c r="E230" s="198"/>
      <c r="F230" s="196" t="str">
        <f t="shared" si="10"/>
        <v/>
      </c>
      <c r="G230" s="197"/>
      <c r="H230" s="198"/>
      <c r="I230" s="196" t="str">
        <f t="shared" si="11"/>
        <v/>
      </c>
    </row>
    <row r="231" spans="1:9" s="196" customFormat="1" ht="17.399999999999999">
      <c r="A231" s="194"/>
      <c r="B231" s="195"/>
      <c r="C231" s="196" t="str">
        <f t="shared" si="9"/>
        <v/>
      </c>
      <c r="D231" s="197"/>
      <c r="E231" s="198"/>
      <c r="F231" s="196" t="str">
        <f t="shared" si="10"/>
        <v/>
      </c>
      <c r="G231" s="197"/>
      <c r="H231" s="198"/>
      <c r="I231" s="196" t="str">
        <f t="shared" si="11"/>
        <v/>
      </c>
    </row>
    <row r="232" spans="1:9" s="196" customFormat="1" ht="17.399999999999999">
      <c r="A232" s="194"/>
      <c r="B232" s="195"/>
      <c r="C232" s="196" t="str">
        <f t="shared" si="9"/>
        <v/>
      </c>
      <c r="D232" s="197"/>
      <c r="E232" s="198"/>
      <c r="F232" s="196" t="str">
        <f t="shared" si="10"/>
        <v/>
      </c>
      <c r="G232" s="197"/>
      <c r="H232" s="198"/>
      <c r="I232" s="196" t="str">
        <f t="shared" si="11"/>
        <v/>
      </c>
    </row>
    <row r="233" spans="1:9" s="196" customFormat="1" ht="17.399999999999999">
      <c r="A233" s="194"/>
      <c r="B233" s="195"/>
      <c r="C233" s="196" t="str">
        <f t="shared" si="9"/>
        <v/>
      </c>
      <c r="D233" s="197"/>
      <c r="E233" s="198"/>
      <c r="F233" s="196" t="str">
        <f t="shared" si="10"/>
        <v/>
      </c>
      <c r="G233" s="197"/>
      <c r="H233" s="198"/>
      <c r="I233" s="196" t="str">
        <f t="shared" si="11"/>
        <v/>
      </c>
    </row>
    <row r="234" spans="1:9" s="196" customFormat="1" ht="17.399999999999999">
      <c r="A234" s="194"/>
      <c r="B234" s="195"/>
      <c r="C234" s="196" t="str">
        <f t="shared" si="9"/>
        <v/>
      </c>
      <c r="D234" s="197"/>
      <c r="E234" s="198"/>
      <c r="F234" s="196" t="str">
        <f t="shared" si="10"/>
        <v/>
      </c>
      <c r="G234" s="197"/>
      <c r="H234" s="198"/>
      <c r="I234" s="196" t="str">
        <f t="shared" si="11"/>
        <v/>
      </c>
    </row>
    <row r="235" spans="1:9" s="196" customFormat="1" ht="17.399999999999999">
      <c r="A235" s="194"/>
      <c r="B235" s="195"/>
      <c r="C235" s="196" t="str">
        <f t="shared" si="9"/>
        <v/>
      </c>
      <c r="D235" s="197"/>
      <c r="E235" s="198"/>
      <c r="F235" s="196" t="str">
        <f t="shared" si="10"/>
        <v/>
      </c>
      <c r="G235" s="197"/>
      <c r="H235" s="198"/>
      <c r="I235" s="196" t="str">
        <f t="shared" si="11"/>
        <v/>
      </c>
    </row>
    <row r="236" spans="1:9" s="196" customFormat="1" ht="17.399999999999999">
      <c r="A236" s="194"/>
      <c r="B236" s="195"/>
      <c r="C236" s="196" t="str">
        <f t="shared" si="9"/>
        <v/>
      </c>
      <c r="D236" s="197"/>
      <c r="E236" s="198"/>
      <c r="F236" s="196" t="str">
        <f t="shared" si="10"/>
        <v/>
      </c>
      <c r="G236" s="197"/>
      <c r="H236" s="198"/>
      <c r="I236" s="196" t="str">
        <f t="shared" si="11"/>
        <v/>
      </c>
    </row>
    <row r="237" spans="1:9" s="196" customFormat="1" ht="17.399999999999999">
      <c r="A237" s="194"/>
      <c r="B237" s="195"/>
      <c r="C237" s="196" t="str">
        <f t="shared" si="9"/>
        <v/>
      </c>
      <c r="D237" s="197"/>
      <c r="E237" s="198"/>
      <c r="F237" s="196" t="str">
        <f t="shared" si="10"/>
        <v/>
      </c>
      <c r="G237" s="197"/>
      <c r="H237" s="198"/>
      <c r="I237" s="196" t="str">
        <f t="shared" si="11"/>
        <v/>
      </c>
    </row>
    <row r="238" spans="1:9" s="196" customFormat="1" ht="17.399999999999999">
      <c r="A238" s="194"/>
      <c r="B238" s="195"/>
      <c r="C238" s="196" t="str">
        <f t="shared" si="9"/>
        <v/>
      </c>
      <c r="D238" s="197"/>
      <c r="E238" s="198"/>
      <c r="F238" s="196" t="str">
        <f t="shared" si="10"/>
        <v/>
      </c>
      <c r="G238" s="197"/>
      <c r="H238" s="198"/>
      <c r="I238" s="196" t="str">
        <f t="shared" si="11"/>
        <v/>
      </c>
    </row>
    <row r="239" spans="1:9" s="196" customFormat="1" ht="17.399999999999999">
      <c r="A239" s="194"/>
      <c r="B239" s="195"/>
      <c r="C239" s="196" t="str">
        <f t="shared" si="9"/>
        <v/>
      </c>
      <c r="D239" s="197"/>
      <c r="E239" s="198"/>
      <c r="F239" s="196" t="str">
        <f t="shared" si="10"/>
        <v/>
      </c>
      <c r="G239" s="197"/>
      <c r="H239" s="198"/>
      <c r="I239" s="196" t="str">
        <f t="shared" si="11"/>
        <v/>
      </c>
    </row>
    <row r="240" spans="1:9" s="196" customFormat="1" ht="17.399999999999999">
      <c r="A240" s="194"/>
      <c r="B240" s="195"/>
      <c r="C240" s="196" t="str">
        <f t="shared" si="9"/>
        <v/>
      </c>
      <c r="D240" s="197"/>
      <c r="E240" s="198"/>
      <c r="F240" s="196" t="str">
        <f t="shared" si="10"/>
        <v/>
      </c>
      <c r="G240" s="197"/>
      <c r="H240" s="198"/>
      <c r="I240" s="196" t="str">
        <f t="shared" si="11"/>
        <v/>
      </c>
    </row>
    <row r="241" spans="1:9" s="196" customFormat="1" ht="17.399999999999999">
      <c r="A241" s="194"/>
      <c r="B241" s="195"/>
      <c r="C241" s="196" t="str">
        <f t="shared" si="9"/>
        <v/>
      </c>
      <c r="D241" s="197"/>
      <c r="E241" s="198"/>
      <c r="F241" s="196" t="str">
        <f t="shared" si="10"/>
        <v/>
      </c>
      <c r="G241" s="197"/>
      <c r="H241" s="198"/>
      <c r="I241" s="196" t="str">
        <f t="shared" si="11"/>
        <v/>
      </c>
    </row>
    <row r="242" spans="1:9" s="196" customFormat="1" ht="17.399999999999999">
      <c r="A242" s="197"/>
      <c r="B242" s="198"/>
      <c r="C242" s="196" t="str">
        <f t="shared" si="9"/>
        <v/>
      </c>
      <c r="D242" s="197"/>
      <c r="E242" s="198"/>
      <c r="F242" s="196" t="str">
        <f t="shared" si="10"/>
        <v/>
      </c>
      <c r="G242" s="197"/>
      <c r="H242" s="198"/>
      <c r="I242" s="196" t="str">
        <f t="shared" si="11"/>
        <v/>
      </c>
    </row>
    <row r="243" spans="1:9" s="196" customFormat="1" ht="17.399999999999999">
      <c r="A243" s="197"/>
      <c r="B243" s="198"/>
      <c r="C243" s="196" t="str">
        <f t="shared" si="9"/>
        <v/>
      </c>
      <c r="D243" s="197"/>
      <c r="E243" s="198"/>
      <c r="F243" s="196" t="str">
        <f t="shared" si="10"/>
        <v/>
      </c>
      <c r="G243" s="197"/>
      <c r="H243" s="198"/>
      <c r="I243" s="196" t="str">
        <f t="shared" si="11"/>
        <v/>
      </c>
    </row>
    <row r="244" spans="1:9" s="196" customFormat="1" ht="17.399999999999999">
      <c r="A244" s="197"/>
      <c r="B244" s="198"/>
      <c r="C244" s="196" t="str">
        <f t="shared" si="9"/>
        <v/>
      </c>
      <c r="D244" s="197"/>
      <c r="E244" s="198"/>
      <c r="F244" s="196" t="str">
        <f t="shared" si="10"/>
        <v/>
      </c>
      <c r="G244" s="197"/>
      <c r="H244" s="198"/>
      <c r="I244" s="196" t="str">
        <f t="shared" si="11"/>
        <v/>
      </c>
    </row>
    <row r="245" spans="1:9" s="196" customFormat="1" ht="17.399999999999999">
      <c r="A245" s="197"/>
      <c r="B245" s="198"/>
      <c r="C245" s="196" t="str">
        <f t="shared" si="9"/>
        <v/>
      </c>
      <c r="D245" s="197"/>
      <c r="E245" s="198"/>
      <c r="F245" s="196" t="str">
        <f t="shared" si="10"/>
        <v/>
      </c>
      <c r="G245" s="197"/>
      <c r="H245" s="198"/>
      <c r="I245" s="196" t="str">
        <f t="shared" si="11"/>
        <v/>
      </c>
    </row>
    <row r="246" spans="1:9" s="196" customFormat="1" ht="17.399999999999999">
      <c r="A246" s="197"/>
      <c r="B246" s="198"/>
      <c r="C246" s="196" t="str">
        <f t="shared" si="9"/>
        <v/>
      </c>
      <c r="D246" s="197"/>
      <c r="E246" s="198"/>
      <c r="F246" s="196" t="str">
        <f t="shared" si="10"/>
        <v/>
      </c>
      <c r="G246" s="197"/>
      <c r="H246" s="198"/>
      <c r="I246" s="196" t="str">
        <f t="shared" si="11"/>
        <v/>
      </c>
    </row>
    <row r="247" spans="1:9" s="196" customFormat="1" ht="17.399999999999999">
      <c r="A247" s="197"/>
      <c r="B247" s="198"/>
      <c r="C247" s="196" t="str">
        <f t="shared" si="9"/>
        <v/>
      </c>
      <c r="D247" s="197"/>
      <c r="E247" s="198"/>
      <c r="F247" s="196" t="str">
        <f t="shared" si="10"/>
        <v/>
      </c>
      <c r="G247" s="197"/>
      <c r="H247" s="198"/>
      <c r="I247" s="196" t="str">
        <f t="shared" si="11"/>
        <v/>
      </c>
    </row>
    <row r="248" spans="1:9" s="196" customFormat="1" ht="17.399999999999999">
      <c r="A248" s="197"/>
      <c r="B248" s="198"/>
      <c r="C248" s="196" t="str">
        <f t="shared" si="9"/>
        <v/>
      </c>
      <c r="D248" s="197"/>
      <c r="E248" s="198"/>
      <c r="F248" s="196" t="str">
        <f t="shared" si="10"/>
        <v/>
      </c>
      <c r="G248" s="197"/>
      <c r="H248" s="198"/>
      <c r="I248" s="196" t="str">
        <f t="shared" si="11"/>
        <v/>
      </c>
    </row>
    <row r="249" spans="1:9" s="196" customFormat="1" ht="17.399999999999999">
      <c r="A249" s="197"/>
      <c r="B249" s="198"/>
      <c r="C249" s="196" t="str">
        <f t="shared" si="9"/>
        <v/>
      </c>
      <c r="D249" s="197"/>
      <c r="E249" s="198"/>
      <c r="F249" s="196" t="str">
        <f t="shared" si="10"/>
        <v/>
      </c>
      <c r="G249" s="197"/>
      <c r="H249" s="198"/>
      <c r="I249" s="196" t="str">
        <f t="shared" si="11"/>
        <v/>
      </c>
    </row>
    <row r="250" spans="1:9" s="196" customFormat="1" ht="17.399999999999999">
      <c r="A250" s="197"/>
      <c r="B250" s="198"/>
      <c r="C250" s="196" t="str">
        <f t="shared" si="9"/>
        <v/>
      </c>
      <c r="D250" s="197"/>
      <c r="E250" s="198"/>
      <c r="F250" s="196" t="str">
        <f t="shared" si="10"/>
        <v/>
      </c>
      <c r="G250" s="197"/>
      <c r="H250" s="198"/>
      <c r="I250" s="196" t="str">
        <f t="shared" si="11"/>
        <v/>
      </c>
    </row>
    <row r="251" spans="1:9" s="196" customFormat="1" ht="17.399999999999999">
      <c r="A251" s="197"/>
      <c r="B251" s="198"/>
      <c r="C251" s="196" t="str">
        <f t="shared" si="9"/>
        <v/>
      </c>
      <c r="D251" s="197"/>
      <c r="E251" s="198"/>
      <c r="F251" s="196" t="str">
        <f t="shared" si="10"/>
        <v/>
      </c>
      <c r="G251" s="197"/>
      <c r="H251" s="198"/>
      <c r="I251" s="196" t="str">
        <f t="shared" si="11"/>
        <v/>
      </c>
    </row>
    <row r="252" spans="1:9" s="196" customFormat="1" ht="17.399999999999999">
      <c r="A252" s="197"/>
      <c r="B252" s="198"/>
      <c r="C252" s="196" t="str">
        <f t="shared" si="9"/>
        <v/>
      </c>
      <c r="D252" s="197"/>
      <c r="E252" s="198"/>
      <c r="F252" s="196" t="str">
        <f t="shared" si="10"/>
        <v/>
      </c>
      <c r="G252" s="197"/>
      <c r="H252" s="198"/>
      <c r="I252" s="196" t="str">
        <f t="shared" si="11"/>
        <v/>
      </c>
    </row>
    <row r="253" spans="1:9" s="196" customFormat="1" ht="17.399999999999999">
      <c r="A253" s="197"/>
      <c r="B253" s="198"/>
      <c r="C253" s="196" t="str">
        <f t="shared" si="9"/>
        <v/>
      </c>
      <c r="D253" s="197"/>
      <c r="E253" s="198"/>
      <c r="F253" s="196" t="str">
        <f t="shared" si="10"/>
        <v/>
      </c>
      <c r="G253" s="197"/>
      <c r="H253" s="198"/>
      <c r="I253" s="196" t="str">
        <f t="shared" si="11"/>
        <v/>
      </c>
    </row>
    <row r="254" spans="1:9" s="196" customFormat="1" ht="17.399999999999999">
      <c r="A254" s="197"/>
      <c r="B254" s="198"/>
      <c r="C254" s="196" t="str">
        <f t="shared" si="9"/>
        <v/>
      </c>
      <c r="D254" s="197"/>
      <c r="E254" s="198"/>
      <c r="F254" s="196" t="str">
        <f t="shared" si="10"/>
        <v/>
      </c>
      <c r="G254" s="197"/>
      <c r="H254" s="198"/>
      <c r="I254" s="196" t="str">
        <f t="shared" si="11"/>
        <v/>
      </c>
    </row>
    <row r="255" spans="1:9" s="196" customFormat="1" ht="17.399999999999999">
      <c r="A255" s="197"/>
      <c r="B255" s="198"/>
      <c r="C255" s="196" t="str">
        <f t="shared" si="9"/>
        <v/>
      </c>
      <c r="D255" s="197"/>
      <c r="E255" s="198"/>
      <c r="F255" s="196" t="str">
        <f t="shared" si="10"/>
        <v/>
      </c>
      <c r="G255" s="197"/>
      <c r="H255" s="198"/>
      <c r="I255" s="196" t="str">
        <f t="shared" si="11"/>
        <v/>
      </c>
    </row>
    <row r="256" spans="1:9" s="196" customFormat="1" ht="17.399999999999999">
      <c r="A256" s="197"/>
      <c r="B256" s="198"/>
      <c r="C256" s="196" t="str">
        <f t="shared" si="9"/>
        <v/>
      </c>
      <c r="D256" s="197"/>
      <c r="E256" s="198"/>
      <c r="F256" s="196" t="str">
        <f t="shared" si="10"/>
        <v/>
      </c>
      <c r="G256" s="197"/>
      <c r="H256" s="198"/>
      <c r="I256" s="196" t="str">
        <f t="shared" si="11"/>
        <v/>
      </c>
    </row>
    <row r="257" spans="1:9" s="196" customFormat="1" ht="17.399999999999999">
      <c r="A257" s="197"/>
      <c r="B257" s="198"/>
      <c r="C257" s="196" t="str">
        <f t="shared" si="9"/>
        <v/>
      </c>
      <c r="D257" s="197"/>
      <c r="E257" s="198"/>
      <c r="F257" s="196" t="str">
        <f t="shared" si="10"/>
        <v/>
      </c>
      <c r="G257" s="197"/>
      <c r="H257" s="198"/>
      <c r="I257" s="196" t="str">
        <f t="shared" si="11"/>
        <v/>
      </c>
    </row>
    <row r="258" spans="1:9" s="196" customFormat="1" ht="17.399999999999999">
      <c r="A258" s="197"/>
      <c r="B258" s="198"/>
      <c r="C258" s="196" t="str">
        <f t="shared" si="9"/>
        <v/>
      </c>
      <c r="D258" s="197"/>
      <c r="E258" s="198"/>
      <c r="F258" s="196" t="str">
        <f t="shared" si="10"/>
        <v/>
      </c>
      <c r="G258" s="197"/>
      <c r="H258" s="198"/>
      <c r="I258" s="196" t="str">
        <f t="shared" si="11"/>
        <v/>
      </c>
    </row>
    <row r="259" spans="1:9" s="196" customFormat="1" ht="17.399999999999999">
      <c r="A259" s="197"/>
      <c r="B259" s="198"/>
      <c r="C259" s="196" t="str">
        <f t="shared" si="9"/>
        <v/>
      </c>
      <c r="D259" s="197"/>
      <c r="E259" s="198"/>
      <c r="F259" s="196" t="str">
        <f t="shared" si="10"/>
        <v/>
      </c>
      <c r="G259" s="197"/>
      <c r="H259" s="198"/>
      <c r="I259" s="196" t="str">
        <f t="shared" si="11"/>
        <v/>
      </c>
    </row>
    <row r="260" spans="1:9" s="196" customFormat="1" ht="17.399999999999999">
      <c r="A260" s="197"/>
      <c r="B260" s="198"/>
      <c r="C260" s="196" t="str">
        <f t="shared" si="9"/>
        <v/>
      </c>
      <c r="D260" s="197"/>
      <c r="E260" s="198"/>
      <c r="F260" s="196" t="str">
        <f t="shared" si="10"/>
        <v/>
      </c>
      <c r="G260" s="197"/>
      <c r="H260" s="198"/>
      <c r="I260" s="196" t="str">
        <f t="shared" si="11"/>
        <v/>
      </c>
    </row>
    <row r="261" spans="1:9" s="196" customFormat="1" ht="17.399999999999999">
      <c r="A261" s="197"/>
      <c r="B261" s="198"/>
      <c r="C261" s="196" t="str">
        <f t="shared" ref="C261:C304" si="12">IF(B261&gt;0,TEXT(B261,"(aaa)"),"")</f>
        <v/>
      </c>
      <c r="D261" s="197"/>
      <c r="E261" s="198"/>
      <c r="F261" s="196" t="str">
        <f t="shared" ref="F261:F304" si="13">IF(E261&gt;0,TEXT(E261,"(aaa)"),"")</f>
        <v/>
      </c>
      <c r="G261" s="197"/>
      <c r="H261" s="198"/>
      <c r="I261" s="196" t="str">
        <f t="shared" ref="I261:I304" si="14">IF(H261&gt;0,TEXT(H261,"(aaa)"),"")</f>
        <v/>
      </c>
    </row>
    <row r="262" spans="1:9" s="196" customFormat="1" ht="17.399999999999999">
      <c r="A262" s="197"/>
      <c r="B262" s="198"/>
      <c r="C262" s="196" t="str">
        <f t="shared" si="12"/>
        <v/>
      </c>
      <c r="D262" s="197"/>
      <c r="E262" s="198"/>
      <c r="F262" s="196" t="str">
        <f t="shared" si="13"/>
        <v/>
      </c>
      <c r="G262" s="197"/>
      <c r="H262" s="198"/>
      <c r="I262" s="196" t="str">
        <f t="shared" si="14"/>
        <v/>
      </c>
    </row>
    <row r="263" spans="1:9" s="196" customFormat="1" ht="17.399999999999999">
      <c r="A263" s="197"/>
      <c r="B263" s="198"/>
      <c r="C263" s="196" t="str">
        <f t="shared" si="12"/>
        <v/>
      </c>
      <c r="D263" s="197"/>
      <c r="E263" s="198"/>
      <c r="F263" s="196" t="str">
        <f t="shared" si="13"/>
        <v/>
      </c>
      <c r="G263" s="197"/>
      <c r="H263" s="198"/>
      <c r="I263" s="196" t="str">
        <f t="shared" si="14"/>
        <v/>
      </c>
    </row>
    <row r="264" spans="1:9" s="196" customFormat="1" ht="17.399999999999999">
      <c r="A264" s="197"/>
      <c r="B264" s="198"/>
      <c r="C264" s="196" t="str">
        <f t="shared" si="12"/>
        <v/>
      </c>
      <c r="D264" s="197"/>
      <c r="E264" s="198"/>
      <c r="F264" s="196" t="str">
        <f t="shared" si="13"/>
        <v/>
      </c>
      <c r="G264" s="197"/>
      <c r="H264" s="198"/>
      <c r="I264" s="196" t="str">
        <f t="shared" si="14"/>
        <v/>
      </c>
    </row>
    <row r="265" spans="1:9" s="196" customFormat="1" ht="17.399999999999999">
      <c r="A265" s="197"/>
      <c r="B265" s="198"/>
      <c r="C265" s="196" t="str">
        <f t="shared" si="12"/>
        <v/>
      </c>
      <c r="D265" s="197"/>
      <c r="E265" s="198"/>
      <c r="F265" s="196" t="str">
        <f t="shared" si="13"/>
        <v/>
      </c>
      <c r="G265" s="197"/>
      <c r="H265" s="198"/>
      <c r="I265" s="196" t="str">
        <f t="shared" si="14"/>
        <v/>
      </c>
    </row>
    <row r="266" spans="1:9" s="196" customFormat="1" ht="17.399999999999999">
      <c r="A266" s="197"/>
      <c r="B266" s="198"/>
      <c r="C266" s="196" t="str">
        <f t="shared" si="12"/>
        <v/>
      </c>
      <c r="D266" s="197"/>
      <c r="E266" s="198"/>
      <c r="F266" s="196" t="str">
        <f t="shared" si="13"/>
        <v/>
      </c>
      <c r="G266" s="197"/>
      <c r="H266" s="198"/>
      <c r="I266" s="196" t="str">
        <f t="shared" si="14"/>
        <v/>
      </c>
    </row>
    <row r="267" spans="1:9" s="196" customFormat="1" ht="17.399999999999999">
      <c r="A267" s="197"/>
      <c r="B267" s="198"/>
      <c r="C267" s="196" t="str">
        <f t="shared" si="12"/>
        <v/>
      </c>
      <c r="D267" s="197"/>
      <c r="E267" s="198"/>
      <c r="F267" s="196" t="str">
        <f t="shared" si="13"/>
        <v/>
      </c>
      <c r="G267" s="197"/>
      <c r="H267" s="198"/>
      <c r="I267" s="196" t="str">
        <f t="shared" si="14"/>
        <v/>
      </c>
    </row>
    <row r="268" spans="1:9" s="196" customFormat="1" ht="17.399999999999999">
      <c r="A268" s="197"/>
      <c r="B268" s="198"/>
      <c r="C268" s="196" t="str">
        <f t="shared" si="12"/>
        <v/>
      </c>
      <c r="D268" s="197"/>
      <c r="E268" s="198"/>
      <c r="F268" s="196" t="str">
        <f t="shared" si="13"/>
        <v/>
      </c>
      <c r="G268" s="197"/>
      <c r="H268" s="198"/>
      <c r="I268" s="196" t="str">
        <f t="shared" si="14"/>
        <v/>
      </c>
    </row>
    <row r="269" spans="1:9" s="196" customFormat="1" ht="17.399999999999999">
      <c r="A269" s="197"/>
      <c r="B269" s="198"/>
      <c r="C269" s="196" t="str">
        <f t="shared" si="12"/>
        <v/>
      </c>
      <c r="D269" s="197"/>
      <c r="E269" s="198"/>
      <c r="F269" s="196" t="str">
        <f t="shared" si="13"/>
        <v/>
      </c>
      <c r="G269" s="197"/>
      <c r="H269" s="198"/>
      <c r="I269" s="196" t="str">
        <f t="shared" si="14"/>
        <v/>
      </c>
    </row>
    <row r="270" spans="1:9" s="196" customFormat="1" ht="17.399999999999999">
      <c r="A270" s="197"/>
      <c r="B270" s="198"/>
      <c r="C270" s="196" t="str">
        <f t="shared" si="12"/>
        <v/>
      </c>
      <c r="D270" s="197"/>
      <c r="E270" s="198"/>
      <c r="F270" s="196" t="str">
        <f t="shared" si="13"/>
        <v/>
      </c>
      <c r="G270" s="197"/>
      <c r="H270" s="198"/>
      <c r="I270" s="196" t="str">
        <f t="shared" si="14"/>
        <v/>
      </c>
    </row>
    <row r="271" spans="1:9" s="196" customFormat="1" ht="17.399999999999999">
      <c r="A271" s="197"/>
      <c r="B271" s="198"/>
      <c r="C271" s="196" t="str">
        <f t="shared" si="12"/>
        <v/>
      </c>
      <c r="D271" s="197"/>
      <c r="E271" s="198"/>
      <c r="F271" s="196" t="str">
        <f t="shared" si="13"/>
        <v/>
      </c>
      <c r="G271" s="197"/>
      <c r="H271" s="198"/>
      <c r="I271" s="196" t="str">
        <f t="shared" si="14"/>
        <v/>
      </c>
    </row>
    <row r="272" spans="1:9" s="196" customFormat="1" ht="17.399999999999999">
      <c r="A272" s="197"/>
      <c r="B272" s="198"/>
      <c r="C272" s="196" t="str">
        <f t="shared" si="12"/>
        <v/>
      </c>
      <c r="D272" s="197"/>
      <c r="E272" s="198"/>
      <c r="F272" s="196" t="str">
        <f t="shared" si="13"/>
        <v/>
      </c>
      <c r="G272" s="197"/>
      <c r="H272" s="198"/>
      <c r="I272" s="196" t="str">
        <f t="shared" si="14"/>
        <v/>
      </c>
    </row>
    <row r="273" spans="1:9" s="196" customFormat="1" ht="17.399999999999999">
      <c r="A273" s="197"/>
      <c r="B273" s="198"/>
      <c r="C273" s="196" t="str">
        <f t="shared" si="12"/>
        <v/>
      </c>
      <c r="D273" s="197"/>
      <c r="E273" s="198"/>
      <c r="F273" s="196" t="str">
        <f t="shared" si="13"/>
        <v/>
      </c>
      <c r="G273" s="197"/>
      <c r="H273" s="198"/>
      <c r="I273" s="196" t="str">
        <f t="shared" si="14"/>
        <v/>
      </c>
    </row>
    <row r="274" spans="1:9" s="196" customFormat="1" ht="17.399999999999999">
      <c r="A274" s="197"/>
      <c r="B274" s="198"/>
      <c r="C274" s="196" t="str">
        <f t="shared" si="12"/>
        <v/>
      </c>
      <c r="D274" s="197"/>
      <c r="E274" s="198"/>
      <c r="F274" s="196" t="str">
        <f t="shared" si="13"/>
        <v/>
      </c>
      <c r="G274" s="197"/>
      <c r="H274" s="198"/>
      <c r="I274" s="196" t="str">
        <f t="shared" si="14"/>
        <v/>
      </c>
    </row>
    <row r="275" spans="1:9" s="196" customFormat="1" ht="17.399999999999999">
      <c r="A275" s="197"/>
      <c r="B275" s="198"/>
      <c r="C275" s="196" t="str">
        <f t="shared" si="12"/>
        <v/>
      </c>
      <c r="D275" s="197"/>
      <c r="E275" s="198"/>
      <c r="F275" s="196" t="str">
        <f t="shared" si="13"/>
        <v/>
      </c>
      <c r="G275" s="197"/>
      <c r="H275" s="198"/>
      <c r="I275" s="196" t="str">
        <f t="shared" si="14"/>
        <v/>
      </c>
    </row>
    <row r="276" spans="1:9" s="196" customFormat="1" ht="17.399999999999999">
      <c r="A276" s="197"/>
      <c r="B276" s="198"/>
      <c r="C276" s="196" t="str">
        <f t="shared" si="12"/>
        <v/>
      </c>
      <c r="D276" s="197"/>
      <c r="E276" s="198"/>
      <c r="F276" s="196" t="str">
        <f t="shared" si="13"/>
        <v/>
      </c>
      <c r="G276" s="197"/>
      <c r="H276" s="198"/>
      <c r="I276" s="196" t="str">
        <f t="shared" si="14"/>
        <v/>
      </c>
    </row>
    <row r="277" spans="1:9" s="196" customFormat="1" ht="17.399999999999999">
      <c r="A277" s="197"/>
      <c r="B277" s="198"/>
      <c r="C277" s="196" t="str">
        <f t="shared" si="12"/>
        <v/>
      </c>
      <c r="D277" s="197"/>
      <c r="E277" s="198"/>
      <c r="F277" s="196" t="str">
        <f t="shared" si="13"/>
        <v/>
      </c>
      <c r="G277" s="197"/>
      <c r="H277" s="198"/>
      <c r="I277" s="196" t="str">
        <f t="shared" si="14"/>
        <v/>
      </c>
    </row>
    <row r="278" spans="1:9" s="196" customFormat="1" ht="17.399999999999999">
      <c r="A278" s="197"/>
      <c r="B278" s="198"/>
      <c r="C278" s="196" t="str">
        <f t="shared" si="12"/>
        <v/>
      </c>
      <c r="D278" s="197"/>
      <c r="E278" s="198"/>
      <c r="F278" s="196" t="str">
        <f t="shared" si="13"/>
        <v/>
      </c>
      <c r="G278" s="197"/>
      <c r="H278" s="198"/>
      <c r="I278" s="196" t="str">
        <f t="shared" si="14"/>
        <v/>
      </c>
    </row>
    <row r="279" spans="1:9" s="196" customFormat="1" ht="17.399999999999999">
      <c r="A279" s="197"/>
      <c r="B279" s="198"/>
      <c r="C279" s="196" t="str">
        <f t="shared" si="12"/>
        <v/>
      </c>
      <c r="D279" s="197"/>
      <c r="E279" s="198"/>
      <c r="F279" s="196" t="str">
        <f t="shared" si="13"/>
        <v/>
      </c>
      <c r="G279" s="197"/>
      <c r="H279" s="198"/>
      <c r="I279" s="196" t="str">
        <f t="shared" si="14"/>
        <v/>
      </c>
    </row>
    <row r="280" spans="1:9" s="196" customFormat="1" ht="17.399999999999999">
      <c r="A280" s="197"/>
      <c r="B280" s="198"/>
      <c r="C280" s="196" t="str">
        <f t="shared" si="12"/>
        <v/>
      </c>
      <c r="D280" s="197"/>
      <c r="E280" s="198"/>
      <c r="F280" s="196" t="str">
        <f t="shared" si="13"/>
        <v/>
      </c>
      <c r="G280" s="197"/>
      <c r="H280" s="198"/>
      <c r="I280" s="196" t="str">
        <f t="shared" si="14"/>
        <v/>
      </c>
    </row>
    <row r="281" spans="1:9" s="196" customFormat="1" ht="17.399999999999999">
      <c r="A281" s="197"/>
      <c r="B281" s="198"/>
      <c r="C281" s="196" t="str">
        <f t="shared" si="12"/>
        <v/>
      </c>
      <c r="D281" s="197"/>
      <c r="E281" s="198"/>
      <c r="F281" s="196" t="str">
        <f t="shared" si="13"/>
        <v/>
      </c>
      <c r="G281" s="197"/>
      <c r="H281" s="198"/>
      <c r="I281" s="196" t="str">
        <f t="shared" si="14"/>
        <v/>
      </c>
    </row>
    <row r="282" spans="1:9" s="196" customFormat="1" ht="17.399999999999999">
      <c r="A282" s="197"/>
      <c r="B282" s="198"/>
      <c r="C282" s="196" t="str">
        <f t="shared" si="12"/>
        <v/>
      </c>
      <c r="D282" s="197"/>
      <c r="E282" s="198"/>
      <c r="F282" s="196" t="str">
        <f t="shared" si="13"/>
        <v/>
      </c>
      <c r="G282" s="197"/>
      <c r="H282" s="198"/>
      <c r="I282" s="196" t="str">
        <f t="shared" si="14"/>
        <v/>
      </c>
    </row>
    <row r="283" spans="1:9" s="196" customFormat="1" ht="17.399999999999999">
      <c r="A283" s="197"/>
      <c r="B283" s="198"/>
      <c r="C283" s="196" t="str">
        <f t="shared" si="12"/>
        <v/>
      </c>
      <c r="D283" s="197"/>
      <c r="E283" s="198"/>
      <c r="F283" s="196" t="str">
        <f t="shared" si="13"/>
        <v/>
      </c>
      <c r="G283" s="197"/>
      <c r="H283" s="198"/>
      <c r="I283" s="196" t="str">
        <f t="shared" si="14"/>
        <v/>
      </c>
    </row>
    <row r="284" spans="1:9" s="196" customFormat="1" ht="17.399999999999999">
      <c r="A284" s="197"/>
      <c r="B284" s="198"/>
      <c r="C284" s="196" t="str">
        <f t="shared" si="12"/>
        <v/>
      </c>
      <c r="D284" s="197"/>
      <c r="E284" s="198"/>
      <c r="F284" s="196" t="str">
        <f t="shared" si="13"/>
        <v/>
      </c>
      <c r="G284" s="197"/>
      <c r="H284" s="198"/>
      <c r="I284" s="196" t="str">
        <f t="shared" si="14"/>
        <v/>
      </c>
    </row>
    <row r="285" spans="1:9" s="196" customFormat="1" ht="17.399999999999999">
      <c r="A285" s="197"/>
      <c r="B285" s="198"/>
      <c r="C285" s="196" t="str">
        <f t="shared" si="12"/>
        <v/>
      </c>
      <c r="D285" s="197"/>
      <c r="E285" s="198"/>
      <c r="F285" s="196" t="str">
        <f t="shared" si="13"/>
        <v/>
      </c>
      <c r="G285" s="197"/>
      <c r="H285" s="198"/>
      <c r="I285" s="196" t="str">
        <f t="shared" si="14"/>
        <v/>
      </c>
    </row>
    <row r="286" spans="1:9" s="196" customFormat="1" ht="17.399999999999999">
      <c r="A286" s="197"/>
      <c r="B286" s="198"/>
      <c r="C286" s="196" t="str">
        <f t="shared" si="12"/>
        <v/>
      </c>
      <c r="D286" s="197"/>
      <c r="E286" s="198"/>
      <c r="F286" s="196" t="str">
        <f t="shared" si="13"/>
        <v/>
      </c>
      <c r="G286" s="197"/>
      <c r="H286" s="198"/>
      <c r="I286" s="196" t="str">
        <f t="shared" si="14"/>
        <v/>
      </c>
    </row>
    <row r="287" spans="1:9" s="196" customFormat="1" ht="17.399999999999999">
      <c r="A287" s="197"/>
      <c r="B287" s="198"/>
      <c r="C287" s="196" t="str">
        <f t="shared" si="12"/>
        <v/>
      </c>
      <c r="D287" s="197"/>
      <c r="E287" s="198"/>
      <c r="F287" s="196" t="str">
        <f t="shared" si="13"/>
        <v/>
      </c>
      <c r="G287" s="197"/>
      <c r="H287" s="198"/>
      <c r="I287" s="196" t="str">
        <f t="shared" si="14"/>
        <v/>
      </c>
    </row>
    <row r="288" spans="1:9" s="196" customFormat="1" ht="17.399999999999999">
      <c r="A288" s="197"/>
      <c r="B288" s="198"/>
      <c r="C288" s="196" t="str">
        <f t="shared" si="12"/>
        <v/>
      </c>
      <c r="D288" s="197"/>
      <c r="E288" s="198"/>
      <c r="F288" s="196" t="str">
        <f t="shared" si="13"/>
        <v/>
      </c>
      <c r="G288" s="197"/>
      <c r="H288" s="198"/>
      <c r="I288" s="196" t="str">
        <f t="shared" si="14"/>
        <v/>
      </c>
    </row>
    <row r="289" spans="1:9" s="196" customFormat="1" ht="17.399999999999999">
      <c r="A289" s="197"/>
      <c r="B289" s="198"/>
      <c r="C289" s="196" t="str">
        <f t="shared" si="12"/>
        <v/>
      </c>
      <c r="D289" s="197"/>
      <c r="E289" s="198"/>
      <c r="F289" s="196" t="str">
        <f t="shared" si="13"/>
        <v/>
      </c>
      <c r="G289" s="197"/>
      <c r="H289" s="198"/>
      <c r="I289" s="196" t="str">
        <f t="shared" si="14"/>
        <v/>
      </c>
    </row>
    <row r="290" spans="1:9" s="196" customFormat="1" ht="17.399999999999999">
      <c r="A290" s="197"/>
      <c r="B290" s="198"/>
      <c r="C290" s="196" t="str">
        <f t="shared" si="12"/>
        <v/>
      </c>
      <c r="D290" s="197"/>
      <c r="E290" s="198"/>
      <c r="F290" s="196" t="str">
        <f t="shared" si="13"/>
        <v/>
      </c>
      <c r="G290" s="197"/>
      <c r="H290" s="198"/>
      <c r="I290" s="196" t="str">
        <f t="shared" si="14"/>
        <v/>
      </c>
    </row>
    <row r="291" spans="1:9" s="196" customFormat="1" ht="17.399999999999999">
      <c r="A291" s="197"/>
      <c r="B291" s="198"/>
      <c r="C291" s="196" t="str">
        <f t="shared" si="12"/>
        <v/>
      </c>
      <c r="D291" s="197"/>
      <c r="E291" s="198"/>
      <c r="F291" s="196" t="str">
        <f t="shared" si="13"/>
        <v/>
      </c>
      <c r="G291" s="197"/>
      <c r="H291" s="198"/>
      <c r="I291" s="196" t="str">
        <f t="shared" si="14"/>
        <v/>
      </c>
    </row>
    <row r="292" spans="1:9" s="196" customFormat="1" ht="17.399999999999999">
      <c r="A292" s="197"/>
      <c r="B292" s="198"/>
      <c r="C292" s="196" t="str">
        <f t="shared" si="12"/>
        <v/>
      </c>
      <c r="D292" s="197"/>
      <c r="E292" s="198"/>
      <c r="F292" s="196" t="str">
        <f t="shared" si="13"/>
        <v/>
      </c>
      <c r="G292" s="197"/>
      <c r="H292" s="198"/>
      <c r="I292" s="196" t="str">
        <f t="shared" si="14"/>
        <v/>
      </c>
    </row>
    <row r="293" spans="1:9" s="196" customFormat="1" ht="17.399999999999999">
      <c r="A293" s="197"/>
      <c r="B293" s="198"/>
      <c r="C293" s="196" t="str">
        <f t="shared" si="12"/>
        <v/>
      </c>
      <c r="D293" s="197"/>
      <c r="E293" s="198"/>
      <c r="F293" s="196" t="str">
        <f t="shared" si="13"/>
        <v/>
      </c>
      <c r="G293" s="197"/>
      <c r="H293" s="198"/>
      <c r="I293" s="196" t="str">
        <f t="shared" si="14"/>
        <v/>
      </c>
    </row>
    <row r="294" spans="1:9" s="196" customFormat="1" ht="17.399999999999999">
      <c r="A294" s="197"/>
      <c r="B294" s="198"/>
      <c r="C294" s="196" t="str">
        <f t="shared" si="12"/>
        <v/>
      </c>
      <c r="D294" s="197"/>
      <c r="E294" s="198"/>
      <c r="F294" s="196" t="str">
        <f t="shared" si="13"/>
        <v/>
      </c>
      <c r="G294" s="197"/>
      <c r="H294" s="198"/>
      <c r="I294" s="196" t="str">
        <f t="shared" si="14"/>
        <v/>
      </c>
    </row>
    <row r="295" spans="1:9" s="196" customFormat="1" ht="17.399999999999999">
      <c r="A295" s="197"/>
      <c r="B295" s="198"/>
      <c r="C295" s="196" t="str">
        <f t="shared" si="12"/>
        <v/>
      </c>
      <c r="D295" s="197"/>
      <c r="E295" s="198"/>
      <c r="F295" s="196" t="str">
        <f t="shared" si="13"/>
        <v/>
      </c>
      <c r="G295" s="197"/>
      <c r="H295" s="198"/>
      <c r="I295" s="196" t="str">
        <f t="shared" si="14"/>
        <v/>
      </c>
    </row>
    <row r="296" spans="1:9" s="196" customFormat="1" ht="17.399999999999999">
      <c r="A296" s="197"/>
      <c r="B296" s="198"/>
      <c r="C296" s="196" t="str">
        <f t="shared" si="12"/>
        <v/>
      </c>
      <c r="D296" s="197"/>
      <c r="E296" s="198"/>
      <c r="F296" s="196" t="str">
        <f t="shared" si="13"/>
        <v/>
      </c>
      <c r="G296" s="197"/>
      <c r="H296" s="198"/>
      <c r="I296" s="196" t="str">
        <f t="shared" si="14"/>
        <v/>
      </c>
    </row>
    <row r="297" spans="1:9" s="196" customFormat="1" ht="17.399999999999999">
      <c r="A297" s="197"/>
      <c r="B297" s="198"/>
      <c r="C297" s="196" t="str">
        <f t="shared" si="12"/>
        <v/>
      </c>
      <c r="D297" s="197"/>
      <c r="E297" s="198"/>
      <c r="F297" s="196" t="str">
        <f t="shared" si="13"/>
        <v/>
      </c>
      <c r="G297" s="197"/>
      <c r="H297" s="198"/>
      <c r="I297" s="196" t="str">
        <f t="shared" si="14"/>
        <v/>
      </c>
    </row>
    <row r="298" spans="1:9" s="196" customFormat="1" ht="17.399999999999999">
      <c r="A298" s="197"/>
      <c r="B298" s="198"/>
      <c r="C298" s="196" t="str">
        <f t="shared" si="12"/>
        <v/>
      </c>
      <c r="D298" s="197"/>
      <c r="E298" s="198"/>
      <c r="F298" s="196" t="str">
        <f t="shared" si="13"/>
        <v/>
      </c>
      <c r="G298" s="197"/>
      <c r="H298" s="198"/>
      <c r="I298" s="196" t="str">
        <f t="shared" si="14"/>
        <v/>
      </c>
    </row>
    <row r="299" spans="1:9" s="196" customFormat="1" ht="17.399999999999999">
      <c r="A299" s="197"/>
      <c r="B299" s="198"/>
      <c r="C299" s="196" t="str">
        <f t="shared" si="12"/>
        <v/>
      </c>
      <c r="D299" s="197"/>
      <c r="E299" s="198"/>
      <c r="F299" s="196" t="str">
        <f t="shared" si="13"/>
        <v/>
      </c>
      <c r="G299" s="197"/>
      <c r="H299" s="198"/>
      <c r="I299" s="196" t="str">
        <f t="shared" si="14"/>
        <v/>
      </c>
    </row>
    <row r="300" spans="1:9" s="196" customFormat="1" ht="17.399999999999999">
      <c r="A300" s="197"/>
      <c r="B300" s="198"/>
      <c r="C300" s="196" t="str">
        <f t="shared" si="12"/>
        <v/>
      </c>
      <c r="D300" s="197"/>
      <c r="E300" s="198"/>
      <c r="F300" s="196" t="str">
        <f t="shared" si="13"/>
        <v/>
      </c>
      <c r="G300" s="197"/>
      <c r="H300" s="198"/>
      <c r="I300" s="196" t="str">
        <f t="shared" si="14"/>
        <v/>
      </c>
    </row>
    <row r="301" spans="1:9" s="196" customFormat="1" ht="17.399999999999999">
      <c r="A301" s="197"/>
      <c r="B301" s="198"/>
      <c r="C301" s="196" t="str">
        <f t="shared" si="12"/>
        <v/>
      </c>
      <c r="D301" s="197"/>
      <c r="E301" s="198"/>
      <c r="F301" s="196" t="str">
        <f t="shared" si="13"/>
        <v/>
      </c>
      <c r="G301" s="197"/>
      <c r="H301" s="198"/>
      <c r="I301" s="196" t="str">
        <f t="shared" si="14"/>
        <v/>
      </c>
    </row>
    <row r="302" spans="1:9" s="196" customFormat="1" ht="17.399999999999999">
      <c r="A302" s="197"/>
      <c r="B302" s="201"/>
      <c r="C302" s="196" t="str">
        <f t="shared" si="12"/>
        <v/>
      </c>
      <c r="D302" s="197"/>
      <c r="E302" s="201"/>
      <c r="F302" s="196" t="str">
        <f t="shared" si="13"/>
        <v/>
      </c>
      <c r="G302" s="197"/>
      <c r="H302" s="201"/>
      <c r="I302" s="196" t="str">
        <f t="shared" si="14"/>
        <v/>
      </c>
    </row>
    <row r="303" spans="1:9" s="196" customFormat="1" ht="17.399999999999999">
      <c r="A303" s="197"/>
      <c r="B303" s="201"/>
      <c r="C303" s="196" t="str">
        <f t="shared" si="12"/>
        <v/>
      </c>
      <c r="D303" s="197"/>
      <c r="E303" s="201"/>
      <c r="F303" s="196" t="str">
        <f t="shared" si="13"/>
        <v/>
      </c>
      <c r="G303" s="197"/>
      <c r="H303" s="201"/>
      <c r="I303" s="196" t="str">
        <f t="shared" si="14"/>
        <v/>
      </c>
    </row>
    <row r="304" spans="1:9" s="196" customFormat="1" ht="17.399999999999999">
      <c r="A304" s="197"/>
      <c r="B304" s="201"/>
      <c r="C304" s="196" t="str">
        <f t="shared" si="12"/>
        <v/>
      </c>
      <c r="D304" s="197"/>
      <c r="E304" s="201"/>
      <c r="F304" s="196" t="str">
        <f t="shared" si="13"/>
        <v/>
      </c>
      <c r="G304" s="197"/>
      <c r="H304" s="201"/>
      <c r="I304" s="196" t="str">
        <f t="shared" si="14"/>
        <v/>
      </c>
    </row>
    <row r="305" spans="1:7" s="196" customFormat="1" ht="17.399999999999999">
      <c r="A305" s="196" t="s">
        <v>1154</v>
      </c>
      <c r="D305" s="196" t="s">
        <v>1154</v>
      </c>
      <c r="G305" s="196" t="s">
        <v>1154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F491"/>
  <sheetViews>
    <sheetView topLeftCell="B1" zoomScaleNormal="100" workbookViewId="0">
      <pane ySplit="1" topLeftCell="A55" activePane="bottomLeft" state="frozen"/>
      <selection pane="bottomLeft" activeCell="D79" sqref="D79"/>
    </sheetView>
  </sheetViews>
  <sheetFormatPr defaultColWidth="73.3984375" defaultRowHeight="13.2"/>
  <cols>
    <col min="1" max="1" width="7.59765625" style="147" bestFit="1" customWidth="1"/>
    <col min="2" max="2" width="8.3984375" style="148" bestFit="1" customWidth="1"/>
    <col min="3" max="3" width="15.69921875" style="149" customWidth="1"/>
    <col min="4" max="4" width="60.59765625" style="150" customWidth="1"/>
    <col min="5" max="5" width="72.69921875" style="150" bestFit="1" customWidth="1"/>
    <col min="6" max="16384" width="73.3984375" style="147"/>
  </cols>
  <sheetData>
    <row r="1" spans="1:5" s="145" customFormat="1" ht="24.75" customHeight="1">
      <c r="A1" s="145" t="s">
        <v>506</v>
      </c>
      <c r="B1" s="145" t="s">
        <v>507</v>
      </c>
      <c r="C1" s="146" t="s">
        <v>508</v>
      </c>
      <c r="D1" s="146" t="s">
        <v>65</v>
      </c>
      <c r="E1" s="146" t="s">
        <v>66</v>
      </c>
    </row>
    <row r="2" spans="1:5" ht="79.2">
      <c r="A2" s="147" t="s">
        <v>577</v>
      </c>
      <c r="B2" s="148">
        <v>1</v>
      </c>
      <c r="C2" s="149" t="s">
        <v>1063</v>
      </c>
      <c r="D2" s="150" t="s">
        <v>509</v>
      </c>
      <c r="E2" s="150" t="s">
        <v>621</v>
      </c>
    </row>
    <row r="3" spans="1:5" ht="112.5" customHeight="1">
      <c r="A3" s="151">
        <v>500</v>
      </c>
      <c r="B3" s="148">
        <v>2</v>
      </c>
      <c r="C3" s="149" t="s">
        <v>1063</v>
      </c>
      <c r="D3" s="150" t="s">
        <v>502</v>
      </c>
      <c r="E3" s="150" t="s">
        <v>622</v>
      </c>
    </row>
    <row r="4" spans="1:5" ht="52.8">
      <c r="B4" s="148">
        <v>3</v>
      </c>
      <c r="C4" s="149" t="s">
        <v>1063</v>
      </c>
      <c r="D4" s="150" t="s">
        <v>510</v>
      </c>
      <c r="E4" s="150" t="s">
        <v>623</v>
      </c>
    </row>
    <row r="5" spans="1:5" ht="52.8">
      <c r="B5" s="148">
        <v>4</v>
      </c>
      <c r="C5" s="149" t="s">
        <v>1063</v>
      </c>
      <c r="D5" s="150" t="s">
        <v>511</v>
      </c>
      <c r="E5" s="150" t="s">
        <v>624</v>
      </c>
    </row>
    <row r="6" spans="1:5" ht="52.8">
      <c r="B6" s="148">
        <v>5</v>
      </c>
      <c r="C6" s="149" t="s">
        <v>1063</v>
      </c>
      <c r="D6" s="150" t="s">
        <v>512</v>
      </c>
      <c r="E6" s="150" t="s">
        <v>625</v>
      </c>
    </row>
    <row r="7" spans="1:5" ht="39.6">
      <c r="B7" s="148">
        <v>6</v>
      </c>
      <c r="C7" s="149" t="s">
        <v>1063</v>
      </c>
      <c r="D7" s="150" t="s">
        <v>513</v>
      </c>
      <c r="E7" s="150" t="s">
        <v>626</v>
      </c>
    </row>
    <row r="8" spans="1:5">
      <c r="B8" s="148">
        <v>7</v>
      </c>
      <c r="C8" s="149" t="s">
        <v>1063</v>
      </c>
      <c r="D8" s="150" t="s">
        <v>504</v>
      </c>
      <c r="E8" s="150" t="s">
        <v>627</v>
      </c>
    </row>
    <row r="9" spans="1:5">
      <c r="B9" s="148">
        <v>101</v>
      </c>
      <c r="D9" s="150" t="s">
        <v>67</v>
      </c>
      <c r="E9" s="150" t="s">
        <v>628</v>
      </c>
    </row>
    <row r="10" spans="1:5">
      <c r="B10" s="148">
        <v>102</v>
      </c>
      <c r="D10" s="150" t="s">
        <v>68</v>
      </c>
      <c r="E10" s="150" t="s">
        <v>629</v>
      </c>
    </row>
    <row r="11" spans="1:5">
      <c r="B11" s="148">
        <v>103</v>
      </c>
      <c r="D11" s="150" t="s">
        <v>69</v>
      </c>
      <c r="E11" s="150" t="s">
        <v>630</v>
      </c>
    </row>
    <row r="12" spans="1:5">
      <c r="B12" s="148">
        <v>104</v>
      </c>
      <c r="D12" s="150" t="s">
        <v>70</v>
      </c>
      <c r="E12" s="150" t="s">
        <v>631</v>
      </c>
    </row>
    <row r="13" spans="1:5">
      <c r="B13" s="148">
        <v>105</v>
      </c>
      <c r="D13" s="150" t="s">
        <v>71</v>
      </c>
      <c r="E13" s="150" t="s">
        <v>632</v>
      </c>
    </row>
    <row r="14" spans="1:5">
      <c r="B14" s="148">
        <v>106</v>
      </c>
      <c r="D14" s="150" t="s">
        <v>423</v>
      </c>
      <c r="E14" s="150" t="s">
        <v>633</v>
      </c>
    </row>
    <row r="15" spans="1:5" ht="26.4">
      <c r="B15" s="148">
        <v>107</v>
      </c>
      <c r="D15" s="150" t="s">
        <v>424</v>
      </c>
      <c r="E15" s="150" t="s">
        <v>634</v>
      </c>
    </row>
    <row r="16" spans="1:5" ht="39.6">
      <c r="B16" s="148">
        <v>108</v>
      </c>
      <c r="D16" s="150" t="s">
        <v>425</v>
      </c>
      <c r="E16" s="150" t="s">
        <v>635</v>
      </c>
    </row>
    <row r="17" spans="1:6">
      <c r="B17" s="148">
        <v>109</v>
      </c>
      <c r="D17" s="150" t="s">
        <v>72</v>
      </c>
      <c r="E17" s="150" t="s">
        <v>636</v>
      </c>
    </row>
    <row r="18" spans="1:6">
      <c r="B18" s="148">
        <v>110</v>
      </c>
      <c r="D18" s="150" t="s">
        <v>73</v>
      </c>
      <c r="E18" s="150" t="s">
        <v>637</v>
      </c>
    </row>
    <row r="19" spans="1:6">
      <c r="B19" s="148">
        <v>111</v>
      </c>
      <c r="D19" s="150" t="s">
        <v>74</v>
      </c>
      <c r="E19" s="150" t="s">
        <v>638</v>
      </c>
    </row>
    <row r="20" spans="1:6">
      <c r="A20" s="152"/>
      <c r="B20" s="148">
        <v>112</v>
      </c>
      <c r="C20" s="153" t="s">
        <v>514</v>
      </c>
      <c r="D20" s="151" t="s">
        <v>515</v>
      </c>
      <c r="E20" s="151" t="s">
        <v>612</v>
      </c>
      <c r="F20" s="154"/>
    </row>
    <row r="21" spans="1:6">
      <c r="B21" s="148">
        <v>113</v>
      </c>
      <c r="D21" s="150" t="s">
        <v>75</v>
      </c>
      <c r="E21" s="150" t="s">
        <v>612</v>
      </c>
    </row>
    <row r="22" spans="1:6">
      <c r="B22" s="148">
        <v>114</v>
      </c>
      <c r="D22" s="150" t="s">
        <v>76</v>
      </c>
      <c r="E22" s="150" t="s">
        <v>639</v>
      </c>
    </row>
    <row r="23" spans="1:6">
      <c r="B23" s="148">
        <v>115</v>
      </c>
      <c r="D23" s="150" t="s">
        <v>77</v>
      </c>
      <c r="E23" s="150" t="s">
        <v>640</v>
      </c>
    </row>
    <row r="24" spans="1:6" ht="26.4">
      <c r="B24" s="148">
        <v>116</v>
      </c>
      <c r="D24" s="150" t="s">
        <v>426</v>
      </c>
      <c r="E24" s="150" t="s">
        <v>641</v>
      </c>
    </row>
    <row r="25" spans="1:6">
      <c r="B25" s="148">
        <v>117</v>
      </c>
      <c r="D25" s="150" t="s">
        <v>1075</v>
      </c>
      <c r="E25" s="150" t="s">
        <v>1076</v>
      </c>
    </row>
    <row r="26" spans="1:6">
      <c r="B26" s="148">
        <v>118</v>
      </c>
      <c r="D26" s="150" t="s">
        <v>1102</v>
      </c>
      <c r="E26" s="150" t="s">
        <v>1103</v>
      </c>
    </row>
    <row r="27" spans="1:6" ht="26.4">
      <c r="B27" s="148">
        <v>119</v>
      </c>
      <c r="D27" s="150" t="s">
        <v>78</v>
      </c>
      <c r="E27" s="150" t="s">
        <v>642</v>
      </c>
    </row>
    <row r="28" spans="1:6">
      <c r="B28" s="148">
        <v>120</v>
      </c>
      <c r="D28" s="150" t="s">
        <v>79</v>
      </c>
      <c r="E28" s="150" t="s">
        <v>643</v>
      </c>
    </row>
    <row r="29" spans="1:6">
      <c r="B29" s="148">
        <v>121</v>
      </c>
      <c r="D29" s="150" t="s">
        <v>421</v>
      </c>
      <c r="E29" s="150" t="s">
        <v>585</v>
      </c>
    </row>
    <row r="30" spans="1:6">
      <c r="B30" s="148">
        <v>122</v>
      </c>
      <c r="D30" s="150" t="s">
        <v>80</v>
      </c>
      <c r="E30" s="150" t="s">
        <v>644</v>
      </c>
    </row>
    <row r="31" spans="1:6">
      <c r="B31" s="148">
        <v>123</v>
      </c>
      <c r="D31" s="150" t="s">
        <v>1105</v>
      </c>
      <c r="E31" s="150" t="s">
        <v>1104</v>
      </c>
    </row>
    <row r="32" spans="1:6">
      <c r="B32" s="148">
        <v>124</v>
      </c>
      <c r="D32" s="150" t="s">
        <v>1106</v>
      </c>
      <c r="E32" s="150" t="s">
        <v>1107</v>
      </c>
    </row>
    <row r="33" spans="2:5">
      <c r="B33" s="148">
        <v>125</v>
      </c>
      <c r="D33" s="150" t="s">
        <v>81</v>
      </c>
      <c r="E33" s="150" t="s">
        <v>645</v>
      </c>
    </row>
    <row r="34" spans="2:5">
      <c r="B34" s="148">
        <v>126</v>
      </c>
      <c r="D34" s="150" t="s">
        <v>82</v>
      </c>
      <c r="E34" s="150" t="s">
        <v>646</v>
      </c>
    </row>
    <row r="35" spans="2:5" ht="26.4">
      <c r="B35" s="148">
        <v>127</v>
      </c>
      <c r="D35" s="150" t="s">
        <v>422</v>
      </c>
      <c r="E35" s="150" t="s">
        <v>586</v>
      </c>
    </row>
    <row r="36" spans="2:5">
      <c r="B36" s="148">
        <v>128</v>
      </c>
      <c r="D36" s="150" t="s">
        <v>83</v>
      </c>
      <c r="E36" s="150" t="s">
        <v>584</v>
      </c>
    </row>
    <row r="37" spans="2:5">
      <c r="B37" s="148">
        <v>129</v>
      </c>
      <c r="D37" s="150" t="s">
        <v>84</v>
      </c>
      <c r="E37" s="150" t="s">
        <v>647</v>
      </c>
    </row>
    <row r="38" spans="2:5">
      <c r="B38" s="148">
        <v>130</v>
      </c>
      <c r="D38" s="150" t="s">
        <v>427</v>
      </c>
      <c r="E38" s="150" t="s">
        <v>648</v>
      </c>
    </row>
    <row r="39" spans="2:5">
      <c r="B39" s="148">
        <v>131</v>
      </c>
      <c r="D39" s="150" t="s">
        <v>85</v>
      </c>
      <c r="E39" s="150" t="s">
        <v>649</v>
      </c>
    </row>
    <row r="40" spans="2:5">
      <c r="B40" s="148">
        <v>132</v>
      </c>
      <c r="D40" s="150" t="s">
        <v>86</v>
      </c>
      <c r="E40" s="150" t="s">
        <v>650</v>
      </c>
    </row>
    <row r="41" spans="2:5">
      <c r="B41" s="148">
        <v>133</v>
      </c>
      <c r="D41" s="150" t="s">
        <v>87</v>
      </c>
      <c r="E41" s="150" t="s">
        <v>651</v>
      </c>
    </row>
    <row r="42" spans="2:5">
      <c r="B42" s="148">
        <v>134</v>
      </c>
      <c r="D42" s="155" t="s">
        <v>428</v>
      </c>
      <c r="E42" s="156">
        <v>43435</v>
      </c>
    </row>
    <row r="43" spans="2:5">
      <c r="B43" s="148">
        <v>135</v>
      </c>
      <c r="D43" s="155" t="s">
        <v>428</v>
      </c>
      <c r="E43" s="156">
        <v>43435</v>
      </c>
    </row>
    <row r="44" spans="2:5">
      <c r="B44" s="148">
        <v>136</v>
      </c>
      <c r="D44" s="155" t="s">
        <v>429</v>
      </c>
      <c r="E44" s="156">
        <v>43465</v>
      </c>
    </row>
    <row r="45" spans="2:5">
      <c r="B45" s="148">
        <v>137</v>
      </c>
      <c r="D45" s="155" t="s">
        <v>429</v>
      </c>
      <c r="E45" s="156">
        <v>43465</v>
      </c>
    </row>
    <row r="46" spans="2:5">
      <c r="B46" s="148">
        <v>138</v>
      </c>
      <c r="D46" s="150" t="s">
        <v>88</v>
      </c>
      <c r="E46" s="150" t="s">
        <v>88</v>
      </c>
    </row>
    <row r="47" spans="2:5">
      <c r="B47" s="148">
        <v>139</v>
      </c>
      <c r="D47" s="150" t="s">
        <v>1085</v>
      </c>
      <c r="E47" s="150" t="s">
        <v>1086</v>
      </c>
    </row>
    <row r="48" spans="2:5">
      <c r="B48" s="148">
        <v>140</v>
      </c>
      <c r="D48" s="150" t="s">
        <v>1065</v>
      </c>
      <c r="E48" s="150" t="s">
        <v>1066</v>
      </c>
    </row>
    <row r="49" spans="2:5">
      <c r="B49" s="148">
        <v>141</v>
      </c>
      <c r="D49" s="150" t="s">
        <v>89</v>
      </c>
      <c r="E49" s="150" t="s">
        <v>652</v>
      </c>
    </row>
    <row r="50" spans="2:5">
      <c r="B50" s="148">
        <v>142</v>
      </c>
      <c r="C50" s="149" t="s">
        <v>516</v>
      </c>
      <c r="D50" s="150" t="s">
        <v>517</v>
      </c>
      <c r="E50" s="150" t="s">
        <v>518</v>
      </c>
    </row>
    <row r="51" spans="2:5">
      <c r="B51" s="148">
        <v>143</v>
      </c>
      <c r="D51" s="150" t="s">
        <v>90</v>
      </c>
      <c r="E51" s="150" t="s">
        <v>653</v>
      </c>
    </row>
    <row r="52" spans="2:5">
      <c r="B52" s="148">
        <v>144</v>
      </c>
      <c r="D52" s="150" t="s">
        <v>91</v>
      </c>
      <c r="E52" s="150" t="s">
        <v>654</v>
      </c>
    </row>
    <row r="53" spans="2:5">
      <c r="B53" s="148">
        <v>145</v>
      </c>
      <c r="D53" s="150" t="s">
        <v>430</v>
      </c>
      <c r="E53" s="150" t="s">
        <v>609</v>
      </c>
    </row>
    <row r="54" spans="2:5">
      <c r="B54" s="148">
        <v>146</v>
      </c>
      <c r="D54" s="150" t="s">
        <v>92</v>
      </c>
      <c r="E54" s="150" t="s">
        <v>655</v>
      </c>
    </row>
    <row r="55" spans="2:5">
      <c r="B55" s="148">
        <v>147</v>
      </c>
      <c r="D55" s="150" t="s">
        <v>93</v>
      </c>
      <c r="E55" s="150" t="s">
        <v>656</v>
      </c>
    </row>
    <row r="56" spans="2:5">
      <c r="B56" s="148">
        <v>148</v>
      </c>
      <c r="D56" s="150" t="s">
        <v>94</v>
      </c>
      <c r="E56" s="150" t="s">
        <v>657</v>
      </c>
    </row>
    <row r="57" spans="2:5">
      <c r="B57" s="148">
        <v>149</v>
      </c>
      <c r="D57" s="150" t="s">
        <v>95</v>
      </c>
      <c r="E57" s="150" t="s">
        <v>658</v>
      </c>
    </row>
    <row r="58" spans="2:5">
      <c r="B58" s="148">
        <v>150</v>
      </c>
      <c r="D58" s="150" t="s">
        <v>96</v>
      </c>
      <c r="E58" s="150" t="s">
        <v>659</v>
      </c>
    </row>
    <row r="59" spans="2:5">
      <c r="B59" s="148">
        <v>151</v>
      </c>
      <c r="D59" s="150" t="s">
        <v>431</v>
      </c>
      <c r="E59" s="150" t="s">
        <v>608</v>
      </c>
    </row>
    <row r="60" spans="2:5">
      <c r="B60" s="148">
        <v>152</v>
      </c>
      <c r="D60" s="150" t="s">
        <v>97</v>
      </c>
      <c r="E60" s="150" t="s">
        <v>660</v>
      </c>
    </row>
    <row r="61" spans="2:5">
      <c r="B61" s="148">
        <v>153</v>
      </c>
      <c r="D61" s="150" t="s">
        <v>98</v>
      </c>
      <c r="E61" s="150" t="s">
        <v>661</v>
      </c>
    </row>
    <row r="62" spans="2:5">
      <c r="B62" s="148">
        <v>154</v>
      </c>
      <c r="D62" s="150" t="s">
        <v>99</v>
      </c>
      <c r="E62" s="150" t="s">
        <v>662</v>
      </c>
    </row>
    <row r="63" spans="2:5">
      <c r="B63" s="148">
        <v>155</v>
      </c>
      <c r="D63" s="150" t="s">
        <v>100</v>
      </c>
      <c r="E63" s="150" t="s">
        <v>663</v>
      </c>
    </row>
    <row r="64" spans="2:5">
      <c r="B64" s="148">
        <v>156</v>
      </c>
      <c r="D64" s="150" t="s">
        <v>432</v>
      </c>
      <c r="E64" s="150" t="s">
        <v>664</v>
      </c>
    </row>
    <row r="65" spans="1:6">
      <c r="A65" s="157"/>
      <c r="B65" s="148">
        <v>157</v>
      </c>
      <c r="C65" s="153" t="s">
        <v>497</v>
      </c>
      <c r="D65" s="151" t="s">
        <v>519</v>
      </c>
      <c r="E65" s="151" t="s">
        <v>665</v>
      </c>
      <c r="F65" s="154"/>
    </row>
    <row r="66" spans="1:6">
      <c r="B66" s="148">
        <v>158</v>
      </c>
      <c r="D66" s="150" t="s">
        <v>101</v>
      </c>
      <c r="E66" s="151" t="s">
        <v>666</v>
      </c>
    </row>
    <row r="67" spans="1:6">
      <c r="B67" s="148">
        <v>159</v>
      </c>
      <c r="D67" s="150" t="s">
        <v>102</v>
      </c>
      <c r="E67" s="151" t="s">
        <v>667</v>
      </c>
    </row>
    <row r="68" spans="1:6">
      <c r="A68" s="157"/>
      <c r="B68" s="148">
        <v>160</v>
      </c>
      <c r="C68" s="153" t="s">
        <v>520</v>
      </c>
      <c r="D68" s="151" t="s">
        <v>521</v>
      </c>
      <c r="E68" s="151" t="s">
        <v>668</v>
      </c>
      <c r="F68" s="154"/>
    </row>
    <row r="69" spans="1:6">
      <c r="A69" s="157"/>
      <c r="B69" s="148">
        <v>161</v>
      </c>
      <c r="C69" s="153" t="s">
        <v>497</v>
      </c>
      <c r="D69" s="151" t="s">
        <v>522</v>
      </c>
      <c r="E69" s="151" t="s">
        <v>669</v>
      </c>
      <c r="F69" s="154"/>
    </row>
    <row r="70" spans="1:6">
      <c r="A70" s="157"/>
      <c r="B70" s="148">
        <v>162</v>
      </c>
      <c r="C70" s="153" t="s">
        <v>497</v>
      </c>
      <c r="D70" s="151" t="s">
        <v>523</v>
      </c>
      <c r="E70" s="151" t="s">
        <v>670</v>
      </c>
      <c r="F70" s="154"/>
    </row>
    <row r="71" spans="1:6">
      <c r="A71" s="157"/>
      <c r="B71" s="148">
        <v>163</v>
      </c>
      <c r="C71" s="153" t="s">
        <v>520</v>
      </c>
      <c r="D71" s="151" t="s">
        <v>505</v>
      </c>
      <c r="E71" s="151" t="s">
        <v>671</v>
      </c>
      <c r="F71" s="154"/>
    </row>
    <row r="72" spans="1:6">
      <c r="B72" s="148">
        <v>164</v>
      </c>
      <c r="D72" s="150" t="s">
        <v>103</v>
      </c>
      <c r="E72" s="150" t="s">
        <v>672</v>
      </c>
    </row>
    <row r="73" spans="1:6">
      <c r="B73" s="148">
        <v>165</v>
      </c>
      <c r="D73" s="150" t="s">
        <v>104</v>
      </c>
      <c r="E73" s="150" t="s">
        <v>673</v>
      </c>
    </row>
    <row r="74" spans="1:6">
      <c r="B74" s="148">
        <v>166</v>
      </c>
      <c r="D74" s="150" t="s">
        <v>524</v>
      </c>
      <c r="E74" s="150" t="s">
        <v>674</v>
      </c>
    </row>
    <row r="75" spans="1:6">
      <c r="B75" s="148">
        <v>167</v>
      </c>
      <c r="D75" s="150" t="s">
        <v>105</v>
      </c>
      <c r="E75" s="150" t="s">
        <v>675</v>
      </c>
    </row>
    <row r="76" spans="1:6">
      <c r="B76" s="148">
        <v>168</v>
      </c>
      <c r="D76" s="150" t="s">
        <v>106</v>
      </c>
      <c r="E76" s="150" t="s">
        <v>676</v>
      </c>
    </row>
    <row r="77" spans="1:6">
      <c r="B77" s="148">
        <v>169</v>
      </c>
      <c r="D77" s="150" t="s">
        <v>107</v>
      </c>
      <c r="E77" s="150" t="s">
        <v>1276</v>
      </c>
    </row>
    <row r="78" spans="1:6">
      <c r="B78" s="148">
        <v>170</v>
      </c>
      <c r="D78" s="150" t="s">
        <v>108</v>
      </c>
      <c r="E78" s="150" t="s">
        <v>677</v>
      </c>
    </row>
    <row r="79" spans="1:6" ht="26.4">
      <c r="B79" s="148">
        <v>171</v>
      </c>
      <c r="D79" s="150" t="s">
        <v>109</v>
      </c>
      <c r="E79" s="150" t="s">
        <v>591</v>
      </c>
    </row>
    <row r="80" spans="1:6">
      <c r="B80" s="148">
        <v>172</v>
      </c>
      <c r="D80" s="150" t="s">
        <v>110</v>
      </c>
      <c r="E80" s="150" t="s">
        <v>678</v>
      </c>
    </row>
    <row r="81" spans="2:5">
      <c r="B81" s="148">
        <v>173</v>
      </c>
      <c r="D81" s="150" t="s">
        <v>111</v>
      </c>
      <c r="E81" s="150" t="s">
        <v>679</v>
      </c>
    </row>
    <row r="82" spans="2:5">
      <c r="B82" s="148">
        <v>174</v>
      </c>
      <c r="D82" s="150" t="s">
        <v>112</v>
      </c>
      <c r="E82" s="150" t="s">
        <v>680</v>
      </c>
    </row>
    <row r="83" spans="2:5">
      <c r="B83" s="148">
        <v>175</v>
      </c>
      <c r="D83" s="150" t="s">
        <v>433</v>
      </c>
      <c r="E83" s="150" t="s">
        <v>681</v>
      </c>
    </row>
    <row r="84" spans="2:5">
      <c r="B84" s="148">
        <v>176</v>
      </c>
      <c r="D84" s="150" t="s">
        <v>113</v>
      </c>
      <c r="E84" s="150" t="s">
        <v>682</v>
      </c>
    </row>
    <row r="85" spans="2:5">
      <c r="B85" s="148">
        <v>177</v>
      </c>
      <c r="D85" s="150" t="s">
        <v>114</v>
      </c>
      <c r="E85" s="150" t="s">
        <v>683</v>
      </c>
    </row>
    <row r="86" spans="2:5">
      <c r="B86" s="148">
        <v>178</v>
      </c>
      <c r="D86" s="150" t="s">
        <v>115</v>
      </c>
      <c r="E86" s="150" t="s">
        <v>684</v>
      </c>
    </row>
    <row r="87" spans="2:5">
      <c r="B87" s="148">
        <v>179</v>
      </c>
      <c r="D87" s="150" t="s">
        <v>116</v>
      </c>
      <c r="E87" s="150" t="s">
        <v>685</v>
      </c>
    </row>
    <row r="88" spans="2:5">
      <c r="B88" s="148">
        <v>180</v>
      </c>
      <c r="D88" s="150" t="s">
        <v>117</v>
      </c>
      <c r="E88" s="150" t="s">
        <v>686</v>
      </c>
    </row>
    <row r="89" spans="2:5">
      <c r="B89" s="148">
        <v>181</v>
      </c>
      <c r="D89" s="150" t="s">
        <v>118</v>
      </c>
      <c r="E89" s="150" t="s">
        <v>687</v>
      </c>
    </row>
    <row r="90" spans="2:5">
      <c r="B90" s="148">
        <v>182</v>
      </c>
      <c r="D90" s="150" t="s">
        <v>119</v>
      </c>
      <c r="E90" s="150" t="s">
        <v>688</v>
      </c>
    </row>
    <row r="91" spans="2:5">
      <c r="B91" s="148">
        <v>183</v>
      </c>
      <c r="D91" s="150" t="s">
        <v>120</v>
      </c>
      <c r="E91" s="150" t="s">
        <v>689</v>
      </c>
    </row>
    <row r="92" spans="2:5">
      <c r="B92" s="148">
        <v>184</v>
      </c>
      <c r="D92" s="150" t="s">
        <v>434</v>
      </c>
      <c r="E92" s="150" t="s">
        <v>690</v>
      </c>
    </row>
    <row r="93" spans="2:5" ht="26.4">
      <c r="B93" s="148">
        <v>185</v>
      </c>
      <c r="D93" s="150" t="s">
        <v>435</v>
      </c>
      <c r="E93" s="150" t="s">
        <v>691</v>
      </c>
    </row>
    <row r="94" spans="2:5" ht="26.4">
      <c r="B94" s="148">
        <v>186</v>
      </c>
      <c r="D94" s="150" t="s">
        <v>121</v>
      </c>
      <c r="E94" s="150" t="s">
        <v>692</v>
      </c>
    </row>
    <row r="95" spans="2:5">
      <c r="B95" s="148">
        <v>187</v>
      </c>
      <c r="D95" s="150" t="s">
        <v>122</v>
      </c>
      <c r="E95" s="150" t="s">
        <v>123</v>
      </c>
    </row>
    <row r="96" spans="2:5">
      <c r="B96" s="148">
        <v>188</v>
      </c>
      <c r="D96" s="150" t="s">
        <v>436</v>
      </c>
      <c r="E96" s="150" t="s">
        <v>693</v>
      </c>
    </row>
    <row r="97" spans="2:5">
      <c r="B97" s="148">
        <v>189</v>
      </c>
      <c r="D97" s="150" t="s">
        <v>437</v>
      </c>
      <c r="E97" s="150" t="s">
        <v>694</v>
      </c>
    </row>
    <row r="98" spans="2:5">
      <c r="B98" s="148">
        <v>190</v>
      </c>
      <c r="D98" s="150" t="s">
        <v>438</v>
      </c>
      <c r="E98" s="150" t="s">
        <v>532</v>
      </c>
    </row>
    <row r="99" spans="2:5">
      <c r="B99" s="148">
        <v>191</v>
      </c>
      <c r="D99" s="150" t="s">
        <v>124</v>
      </c>
      <c r="E99" s="150" t="s">
        <v>695</v>
      </c>
    </row>
    <row r="100" spans="2:5" ht="26.4">
      <c r="B100" s="148">
        <v>192</v>
      </c>
      <c r="D100" s="150" t="s">
        <v>125</v>
      </c>
      <c r="E100" s="150" t="s">
        <v>696</v>
      </c>
    </row>
    <row r="101" spans="2:5" ht="26.4">
      <c r="B101" s="148">
        <v>193</v>
      </c>
      <c r="D101" s="150" t="s">
        <v>126</v>
      </c>
      <c r="E101" s="150" t="s">
        <v>697</v>
      </c>
    </row>
    <row r="102" spans="2:5">
      <c r="B102" s="148">
        <v>194</v>
      </c>
      <c r="D102" s="150" t="s">
        <v>127</v>
      </c>
      <c r="E102" s="150" t="s">
        <v>127</v>
      </c>
    </row>
    <row r="103" spans="2:5">
      <c r="B103" s="148">
        <v>195</v>
      </c>
      <c r="D103" s="150" t="s">
        <v>128</v>
      </c>
      <c r="E103" s="150" t="s">
        <v>698</v>
      </c>
    </row>
    <row r="104" spans="2:5">
      <c r="B104" s="148">
        <v>196</v>
      </c>
      <c r="D104" s="150" t="s">
        <v>129</v>
      </c>
      <c r="E104" s="150" t="s">
        <v>588</v>
      </c>
    </row>
    <row r="105" spans="2:5">
      <c r="B105" s="148">
        <v>197</v>
      </c>
      <c r="D105" s="150" t="s">
        <v>130</v>
      </c>
      <c r="E105" s="150" t="s">
        <v>1052</v>
      </c>
    </row>
    <row r="106" spans="2:5">
      <c r="B106" s="148">
        <v>198</v>
      </c>
      <c r="D106" s="150" t="s">
        <v>439</v>
      </c>
      <c r="E106" s="150" t="s">
        <v>699</v>
      </c>
    </row>
    <row r="107" spans="2:5">
      <c r="B107" s="148">
        <v>199</v>
      </c>
      <c r="D107" s="150" t="s">
        <v>131</v>
      </c>
      <c r="E107" s="150" t="s">
        <v>700</v>
      </c>
    </row>
    <row r="108" spans="2:5">
      <c r="B108" s="148">
        <v>200</v>
      </c>
      <c r="D108" s="150" t="s">
        <v>440</v>
      </c>
      <c r="E108" s="150" t="s">
        <v>701</v>
      </c>
    </row>
    <row r="109" spans="2:5">
      <c r="B109" s="148">
        <v>201</v>
      </c>
      <c r="D109" s="150" t="s">
        <v>132</v>
      </c>
      <c r="E109" s="150" t="s">
        <v>702</v>
      </c>
    </row>
    <row r="110" spans="2:5">
      <c r="B110" s="148">
        <v>202</v>
      </c>
      <c r="D110" s="150" t="s">
        <v>133</v>
      </c>
      <c r="E110" s="150" t="s">
        <v>703</v>
      </c>
    </row>
    <row r="111" spans="2:5">
      <c r="B111" s="148">
        <v>203</v>
      </c>
      <c r="D111" s="150" t="s">
        <v>134</v>
      </c>
      <c r="E111" s="150" t="s">
        <v>704</v>
      </c>
    </row>
    <row r="112" spans="2:5">
      <c r="B112" s="148">
        <v>204</v>
      </c>
      <c r="D112" s="150" t="s">
        <v>441</v>
      </c>
      <c r="E112" s="150" t="s">
        <v>705</v>
      </c>
    </row>
    <row r="113" spans="2:5">
      <c r="B113" s="148">
        <v>205</v>
      </c>
      <c r="D113" s="150" t="s">
        <v>135</v>
      </c>
      <c r="E113" s="150" t="s">
        <v>706</v>
      </c>
    </row>
    <row r="114" spans="2:5">
      <c r="B114" s="148">
        <v>206</v>
      </c>
      <c r="D114" s="150" t="s">
        <v>136</v>
      </c>
      <c r="E114" s="150" t="s">
        <v>707</v>
      </c>
    </row>
    <row r="115" spans="2:5">
      <c r="B115" s="148">
        <v>207</v>
      </c>
      <c r="D115" s="150" t="s">
        <v>137</v>
      </c>
      <c r="E115" s="150" t="s">
        <v>708</v>
      </c>
    </row>
    <row r="116" spans="2:5">
      <c r="B116" s="148">
        <v>208</v>
      </c>
      <c r="D116" s="150" t="s">
        <v>442</v>
      </c>
      <c r="E116" s="150" t="s">
        <v>709</v>
      </c>
    </row>
    <row r="117" spans="2:5">
      <c r="B117" s="148">
        <v>209</v>
      </c>
      <c r="D117" s="150" t="s">
        <v>443</v>
      </c>
      <c r="E117" s="150" t="s">
        <v>710</v>
      </c>
    </row>
    <row r="118" spans="2:5">
      <c r="B118" s="148">
        <v>210</v>
      </c>
      <c r="D118" s="150" t="s">
        <v>444</v>
      </c>
      <c r="E118" s="150" t="s">
        <v>711</v>
      </c>
    </row>
    <row r="119" spans="2:5">
      <c r="B119" s="148">
        <v>211</v>
      </c>
      <c r="D119" s="150" t="s">
        <v>445</v>
      </c>
      <c r="E119" s="150" t="s">
        <v>712</v>
      </c>
    </row>
    <row r="120" spans="2:5">
      <c r="B120" s="148">
        <v>212</v>
      </c>
      <c r="D120" s="150" t="s">
        <v>446</v>
      </c>
      <c r="E120" s="150" t="s">
        <v>713</v>
      </c>
    </row>
    <row r="121" spans="2:5">
      <c r="B121" s="148">
        <v>213</v>
      </c>
      <c r="D121" s="150" t="s">
        <v>138</v>
      </c>
      <c r="E121" s="150" t="s">
        <v>587</v>
      </c>
    </row>
    <row r="122" spans="2:5">
      <c r="B122" s="148">
        <v>214</v>
      </c>
      <c r="D122" s="150" t="s">
        <v>447</v>
      </c>
      <c r="E122" s="150" t="s">
        <v>714</v>
      </c>
    </row>
    <row r="123" spans="2:5">
      <c r="B123" s="148">
        <v>215</v>
      </c>
      <c r="D123" s="150" t="s">
        <v>139</v>
      </c>
      <c r="E123" s="150" t="s">
        <v>543</v>
      </c>
    </row>
    <row r="124" spans="2:5">
      <c r="B124" s="148">
        <v>216</v>
      </c>
      <c r="D124" s="150" t="s">
        <v>140</v>
      </c>
      <c r="E124" s="150" t="s">
        <v>715</v>
      </c>
    </row>
    <row r="125" spans="2:5">
      <c r="B125" s="148">
        <v>217</v>
      </c>
      <c r="D125" s="150" t="s">
        <v>141</v>
      </c>
      <c r="E125" s="150" t="s">
        <v>716</v>
      </c>
    </row>
    <row r="126" spans="2:5">
      <c r="B126" s="148">
        <v>218</v>
      </c>
      <c r="D126" s="150" t="s">
        <v>448</v>
      </c>
      <c r="E126" s="150" t="s">
        <v>717</v>
      </c>
    </row>
    <row r="127" spans="2:5">
      <c r="B127" s="148">
        <v>219</v>
      </c>
      <c r="D127" s="150" t="s">
        <v>449</v>
      </c>
      <c r="E127" s="150" t="s">
        <v>718</v>
      </c>
    </row>
    <row r="128" spans="2:5">
      <c r="B128" s="148">
        <v>220</v>
      </c>
      <c r="D128" s="150" t="s">
        <v>539</v>
      </c>
      <c r="E128" s="150" t="s">
        <v>719</v>
      </c>
    </row>
    <row r="129" spans="2:5">
      <c r="B129" s="148">
        <v>221</v>
      </c>
      <c r="D129" s="150" t="s">
        <v>450</v>
      </c>
      <c r="E129" s="150" t="s">
        <v>720</v>
      </c>
    </row>
    <row r="130" spans="2:5">
      <c r="B130" s="148">
        <v>222</v>
      </c>
      <c r="D130" s="150" t="s">
        <v>451</v>
      </c>
      <c r="E130" s="150" t="s">
        <v>721</v>
      </c>
    </row>
    <row r="131" spans="2:5">
      <c r="B131" s="148">
        <v>223</v>
      </c>
      <c r="D131" s="150" t="s">
        <v>452</v>
      </c>
      <c r="E131" s="150" t="s">
        <v>722</v>
      </c>
    </row>
    <row r="132" spans="2:5">
      <c r="B132" s="148">
        <v>224</v>
      </c>
      <c r="D132" s="150" t="s">
        <v>453</v>
      </c>
      <c r="E132" s="150" t="s">
        <v>723</v>
      </c>
    </row>
    <row r="133" spans="2:5">
      <c r="B133" s="148">
        <v>225</v>
      </c>
      <c r="D133" s="150" t="s">
        <v>560</v>
      </c>
      <c r="E133" s="150" t="s">
        <v>563</v>
      </c>
    </row>
    <row r="134" spans="2:5">
      <c r="B134" s="148">
        <v>226</v>
      </c>
      <c r="D134" s="150" t="s">
        <v>142</v>
      </c>
      <c r="E134" s="150" t="s">
        <v>724</v>
      </c>
    </row>
    <row r="135" spans="2:5">
      <c r="B135" s="148">
        <v>227</v>
      </c>
      <c r="D135" s="150" t="s">
        <v>143</v>
      </c>
      <c r="E135" s="150" t="s">
        <v>725</v>
      </c>
    </row>
    <row r="136" spans="2:5">
      <c r="B136" s="148">
        <v>228</v>
      </c>
      <c r="D136" s="150" t="s">
        <v>144</v>
      </c>
      <c r="E136" s="150" t="s">
        <v>726</v>
      </c>
    </row>
    <row r="137" spans="2:5">
      <c r="B137" s="148">
        <v>229</v>
      </c>
      <c r="D137" s="150" t="s">
        <v>145</v>
      </c>
      <c r="E137" s="150" t="s">
        <v>727</v>
      </c>
    </row>
    <row r="138" spans="2:5">
      <c r="B138" s="148">
        <v>230</v>
      </c>
      <c r="D138" s="150" t="s">
        <v>454</v>
      </c>
      <c r="E138" s="150" t="s">
        <v>728</v>
      </c>
    </row>
    <row r="139" spans="2:5">
      <c r="B139" s="148">
        <v>231</v>
      </c>
      <c r="D139" s="150" t="s">
        <v>455</v>
      </c>
      <c r="E139" s="150" t="s">
        <v>729</v>
      </c>
    </row>
    <row r="140" spans="2:5">
      <c r="B140" s="148">
        <v>232</v>
      </c>
      <c r="D140" s="150" t="s">
        <v>456</v>
      </c>
      <c r="E140" s="150" t="s">
        <v>730</v>
      </c>
    </row>
    <row r="141" spans="2:5">
      <c r="B141" s="148">
        <v>233</v>
      </c>
      <c r="D141" s="150" t="s">
        <v>146</v>
      </c>
      <c r="E141" s="150" t="s">
        <v>731</v>
      </c>
    </row>
    <row r="142" spans="2:5">
      <c r="B142" s="148">
        <v>234</v>
      </c>
      <c r="D142" s="150" t="s">
        <v>147</v>
      </c>
      <c r="E142" s="150" t="s">
        <v>732</v>
      </c>
    </row>
    <row r="143" spans="2:5">
      <c r="B143" s="148">
        <v>235</v>
      </c>
      <c r="D143" s="150" t="s">
        <v>457</v>
      </c>
      <c r="E143" s="150" t="s">
        <v>733</v>
      </c>
    </row>
    <row r="144" spans="2:5">
      <c r="B144" s="148">
        <v>236</v>
      </c>
      <c r="D144" s="150" t="s">
        <v>148</v>
      </c>
      <c r="E144" s="150" t="s">
        <v>734</v>
      </c>
    </row>
    <row r="145" spans="2:5" ht="39.6">
      <c r="B145" s="148">
        <v>237</v>
      </c>
      <c r="D145" s="150" t="s">
        <v>149</v>
      </c>
      <c r="E145" s="150" t="s">
        <v>735</v>
      </c>
    </row>
    <row r="146" spans="2:5">
      <c r="B146" s="148">
        <v>238</v>
      </c>
      <c r="D146" s="150" t="s">
        <v>150</v>
      </c>
      <c r="E146" s="150" t="s">
        <v>736</v>
      </c>
    </row>
    <row r="147" spans="2:5">
      <c r="B147" s="148">
        <v>239</v>
      </c>
      <c r="D147" s="150" t="s">
        <v>151</v>
      </c>
      <c r="E147" s="150" t="s">
        <v>737</v>
      </c>
    </row>
    <row r="148" spans="2:5">
      <c r="B148" s="148">
        <v>240</v>
      </c>
      <c r="D148" s="150" t="s">
        <v>152</v>
      </c>
      <c r="E148" s="150" t="s">
        <v>738</v>
      </c>
    </row>
    <row r="149" spans="2:5">
      <c r="B149" s="148">
        <v>241</v>
      </c>
      <c r="D149" s="150" t="s">
        <v>153</v>
      </c>
      <c r="E149" s="150" t="s">
        <v>739</v>
      </c>
    </row>
    <row r="150" spans="2:5">
      <c r="B150" s="148">
        <v>242</v>
      </c>
      <c r="D150" s="150" t="s">
        <v>154</v>
      </c>
      <c r="E150" s="150" t="s">
        <v>740</v>
      </c>
    </row>
    <row r="151" spans="2:5">
      <c r="B151" s="148">
        <v>243</v>
      </c>
      <c r="D151" s="150" t="s">
        <v>155</v>
      </c>
      <c r="E151" s="150" t="s">
        <v>741</v>
      </c>
    </row>
    <row r="152" spans="2:5">
      <c r="B152" s="148">
        <v>244</v>
      </c>
      <c r="D152" s="150" t="s">
        <v>156</v>
      </c>
      <c r="E152" s="150" t="s">
        <v>742</v>
      </c>
    </row>
    <row r="153" spans="2:5">
      <c r="B153" s="148">
        <v>245</v>
      </c>
      <c r="D153" s="150" t="s">
        <v>157</v>
      </c>
      <c r="E153" s="150" t="s">
        <v>583</v>
      </c>
    </row>
    <row r="154" spans="2:5">
      <c r="B154" s="148">
        <v>246</v>
      </c>
      <c r="D154" s="150" t="s">
        <v>158</v>
      </c>
      <c r="E154" s="150" t="s">
        <v>743</v>
      </c>
    </row>
    <row r="155" spans="2:5">
      <c r="B155" s="148">
        <v>247</v>
      </c>
      <c r="D155" s="150" t="s">
        <v>159</v>
      </c>
      <c r="E155" s="150" t="s">
        <v>744</v>
      </c>
    </row>
    <row r="156" spans="2:5">
      <c r="B156" s="148">
        <v>248</v>
      </c>
      <c r="D156" s="150" t="s">
        <v>160</v>
      </c>
      <c r="E156" s="150" t="s">
        <v>745</v>
      </c>
    </row>
    <row r="157" spans="2:5">
      <c r="B157" s="148">
        <v>249</v>
      </c>
      <c r="D157" s="150" t="s">
        <v>161</v>
      </c>
      <c r="E157" s="150" t="s">
        <v>746</v>
      </c>
    </row>
    <row r="158" spans="2:5">
      <c r="B158" s="148">
        <v>250</v>
      </c>
      <c r="D158" s="150" t="s">
        <v>458</v>
      </c>
      <c r="E158" s="150" t="s">
        <v>747</v>
      </c>
    </row>
    <row r="159" spans="2:5">
      <c r="B159" s="148">
        <v>251</v>
      </c>
      <c r="D159" s="150" t="s">
        <v>162</v>
      </c>
      <c r="E159" s="150" t="s">
        <v>748</v>
      </c>
    </row>
    <row r="160" spans="2:5">
      <c r="B160" s="148">
        <v>252</v>
      </c>
      <c r="D160" s="150" t="s">
        <v>163</v>
      </c>
      <c r="E160" s="150" t="s">
        <v>749</v>
      </c>
    </row>
    <row r="161" spans="2:5">
      <c r="B161" s="148">
        <v>253</v>
      </c>
      <c r="D161" s="150" t="s">
        <v>164</v>
      </c>
      <c r="E161" s="150" t="s">
        <v>750</v>
      </c>
    </row>
    <row r="162" spans="2:5">
      <c r="B162" s="148">
        <v>254</v>
      </c>
      <c r="D162" s="150" t="s">
        <v>459</v>
      </c>
      <c r="E162" s="150" t="s">
        <v>751</v>
      </c>
    </row>
    <row r="163" spans="2:5">
      <c r="B163" s="148">
        <v>255</v>
      </c>
      <c r="D163" s="150" t="s">
        <v>460</v>
      </c>
      <c r="E163" s="150" t="s">
        <v>752</v>
      </c>
    </row>
    <row r="164" spans="2:5">
      <c r="B164" s="148">
        <v>256</v>
      </c>
      <c r="D164" s="150" t="s">
        <v>461</v>
      </c>
      <c r="E164" s="150" t="s">
        <v>753</v>
      </c>
    </row>
    <row r="165" spans="2:5">
      <c r="B165" s="148">
        <v>257</v>
      </c>
      <c r="D165" s="150" t="s">
        <v>559</v>
      </c>
      <c r="E165" s="150" t="s">
        <v>754</v>
      </c>
    </row>
    <row r="166" spans="2:5">
      <c r="B166" s="148">
        <v>258</v>
      </c>
      <c r="D166" s="150" t="s">
        <v>165</v>
      </c>
      <c r="E166" s="150" t="s">
        <v>755</v>
      </c>
    </row>
    <row r="167" spans="2:5" ht="26.4">
      <c r="B167" s="148">
        <v>259</v>
      </c>
      <c r="D167" s="150" t="s">
        <v>166</v>
      </c>
      <c r="E167" s="150" t="s">
        <v>756</v>
      </c>
    </row>
    <row r="168" spans="2:5" ht="26.4">
      <c r="B168" s="148">
        <v>260</v>
      </c>
      <c r="D168" s="150" t="s">
        <v>167</v>
      </c>
      <c r="E168" s="150" t="s">
        <v>757</v>
      </c>
    </row>
    <row r="169" spans="2:5" ht="26.4">
      <c r="B169" s="148">
        <v>261</v>
      </c>
      <c r="D169" s="150" t="s">
        <v>168</v>
      </c>
      <c r="E169" s="150" t="s">
        <v>758</v>
      </c>
    </row>
    <row r="170" spans="2:5">
      <c r="B170" s="148">
        <v>262</v>
      </c>
      <c r="D170" s="150" t="s">
        <v>169</v>
      </c>
      <c r="E170" s="150" t="s">
        <v>759</v>
      </c>
    </row>
    <row r="171" spans="2:5">
      <c r="B171" s="148">
        <v>263</v>
      </c>
      <c r="D171" s="150" t="s">
        <v>170</v>
      </c>
      <c r="E171" s="150" t="s">
        <v>760</v>
      </c>
    </row>
    <row r="172" spans="2:5">
      <c r="B172" s="148">
        <v>264</v>
      </c>
      <c r="D172" s="150" t="s">
        <v>171</v>
      </c>
      <c r="E172" s="150" t="s">
        <v>761</v>
      </c>
    </row>
    <row r="173" spans="2:5">
      <c r="B173" s="148">
        <v>265</v>
      </c>
      <c r="D173" s="150" t="s">
        <v>172</v>
      </c>
      <c r="E173" s="150" t="s">
        <v>762</v>
      </c>
    </row>
    <row r="174" spans="2:5">
      <c r="B174" s="148">
        <v>266</v>
      </c>
      <c r="D174" s="150" t="s">
        <v>173</v>
      </c>
      <c r="E174" s="150" t="s">
        <v>763</v>
      </c>
    </row>
    <row r="175" spans="2:5" ht="26.4">
      <c r="B175" s="148">
        <v>267</v>
      </c>
      <c r="D175" s="150" t="s">
        <v>174</v>
      </c>
      <c r="E175" s="150" t="s">
        <v>764</v>
      </c>
    </row>
    <row r="176" spans="2:5">
      <c r="B176" s="148">
        <v>268</v>
      </c>
      <c r="D176" s="150" t="s">
        <v>175</v>
      </c>
      <c r="E176" s="150" t="s">
        <v>765</v>
      </c>
    </row>
    <row r="177" spans="2:5">
      <c r="B177" s="148">
        <v>269</v>
      </c>
      <c r="D177" s="150" t="s">
        <v>176</v>
      </c>
      <c r="E177" s="150" t="s">
        <v>766</v>
      </c>
    </row>
    <row r="178" spans="2:5">
      <c r="B178" s="148">
        <v>270</v>
      </c>
      <c r="D178" s="150" t="s">
        <v>177</v>
      </c>
      <c r="E178" s="150" t="s">
        <v>767</v>
      </c>
    </row>
    <row r="179" spans="2:5">
      <c r="B179" s="148">
        <v>271</v>
      </c>
      <c r="D179" s="150" t="s">
        <v>178</v>
      </c>
      <c r="E179" s="150" t="s">
        <v>768</v>
      </c>
    </row>
    <row r="180" spans="2:5">
      <c r="B180" s="148">
        <v>272</v>
      </c>
      <c r="D180" s="150" t="s">
        <v>179</v>
      </c>
      <c r="E180" s="150" t="s">
        <v>769</v>
      </c>
    </row>
    <row r="181" spans="2:5">
      <c r="B181" s="148">
        <v>273</v>
      </c>
      <c r="D181" s="150" t="s">
        <v>180</v>
      </c>
      <c r="E181" s="150" t="s">
        <v>770</v>
      </c>
    </row>
    <row r="182" spans="2:5">
      <c r="B182" s="148">
        <v>274</v>
      </c>
      <c r="D182" s="150" t="s">
        <v>462</v>
      </c>
      <c r="E182" s="150" t="s">
        <v>771</v>
      </c>
    </row>
    <row r="183" spans="2:5">
      <c r="B183" s="148">
        <v>275</v>
      </c>
      <c r="D183" s="150" t="s">
        <v>181</v>
      </c>
      <c r="E183" s="150" t="s">
        <v>772</v>
      </c>
    </row>
    <row r="184" spans="2:5">
      <c r="B184" s="148">
        <v>276</v>
      </c>
      <c r="D184" s="150" t="s">
        <v>463</v>
      </c>
      <c r="E184" s="150" t="s">
        <v>773</v>
      </c>
    </row>
    <row r="185" spans="2:5" ht="26.4">
      <c r="B185" s="148">
        <v>277</v>
      </c>
      <c r="D185" s="150" t="s">
        <v>182</v>
      </c>
    </row>
    <row r="186" spans="2:5">
      <c r="B186" s="148">
        <v>278</v>
      </c>
      <c r="D186" s="150" t="s">
        <v>183</v>
      </c>
      <c r="E186" s="150" t="s">
        <v>774</v>
      </c>
    </row>
    <row r="187" spans="2:5">
      <c r="B187" s="148">
        <v>279</v>
      </c>
      <c r="D187" s="150" t="s">
        <v>184</v>
      </c>
      <c r="E187" s="150" t="s">
        <v>775</v>
      </c>
    </row>
    <row r="188" spans="2:5">
      <c r="B188" s="148">
        <v>280</v>
      </c>
      <c r="D188" s="150" t="s">
        <v>185</v>
      </c>
      <c r="E188" s="150" t="s">
        <v>776</v>
      </c>
    </row>
    <row r="189" spans="2:5">
      <c r="B189" s="148">
        <v>281</v>
      </c>
      <c r="D189" s="150" t="s">
        <v>186</v>
      </c>
      <c r="E189" s="150" t="s">
        <v>777</v>
      </c>
    </row>
    <row r="190" spans="2:5">
      <c r="B190" s="148">
        <v>282</v>
      </c>
      <c r="D190" s="150" t="s">
        <v>464</v>
      </c>
      <c r="E190" s="150" t="s">
        <v>778</v>
      </c>
    </row>
    <row r="191" spans="2:5">
      <c r="B191" s="148">
        <v>283</v>
      </c>
      <c r="D191" s="150" t="s">
        <v>187</v>
      </c>
      <c r="E191" s="150" t="s">
        <v>779</v>
      </c>
    </row>
    <row r="192" spans="2:5">
      <c r="B192" s="148">
        <v>284</v>
      </c>
      <c r="D192" s="150" t="s">
        <v>188</v>
      </c>
      <c r="E192" s="150" t="s">
        <v>780</v>
      </c>
    </row>
    <row r="193" spans="2:5">
      <c r="B193" s="148">
        <v>285</v>
      </c>
      <c r="D193" s="150" t="s">
        <v>1</v>
      </c>
      <c r="E193" s="150" t="s">
        <v>1</v>
      </c>
    </row>
    <row r="194" spans="2:5">
      <c r="B194" s="148">
        <v>286</v>
      </c>
      <c r="D194" s="150" t="s">
        <v>1083</v>
      </c>
      <c r="E194" s="150" t="s">
        <v>1084</v>
      </c>
    </row>
    <row r="195" spans="2:5">
      <c r="B195" s="148">
        <v>287</v>
      </c>
      <c r="D195" s="150" t="s">
        <v>1067</v>
      </c>
      <c r="E195" s="150" t="s">
        <v>1068</v>
      </c>
    </row>
    <row r="196" spans="2:5">
      <c r="B196" s="148">
        <v>288</v>
      </c>
      <c r="D196" s="150" t="s">
        <v>2</v>
      </c>
      <c r="E196" s="150" t="s">
        <v>2</v>
      </c>
    </row>
    <row r="197" spans="2:5">
      <c r="B197" s="148">
        <v>289</v>
      </c>
      <c r="D197" s="150" t="s">
        <v>189</v>
      </c>
      <c r="E197" s="150" t="s">
        <v>190</v>
      </c>
    </row>
    <row r="198" spans="2:5">
      <c r="B198" s="148">
        <v>290</v>
      </c>
      <c r="D198" s="150" t="s">
        <v>191</v>
      </c>
      <c r="E198" s="150" t="s">
        <v>525</v>
      </c>
    </row>
    <row r="199" spans="2:5">
      <c r="B199" s="148">
        <v>291</v>
      </c>
      <c r="D199" s="150" t="s">
        <v>192</v>
      </c>
      <c r="E199" s="150" t="s">
        <v>781</v>
      </c>
    </row>
    <row r="200" spans="2:5">
      <c r="B200" s="148">
        <v>292</v>
      </c>
      <c r="D200" s="150" t="s">
        <v>193</v>
      </c>
      <c r="E200" s="150" t="s">
        <v>782</v>
      </c>
    </row>
    <row r="201" spans="2:5">
      <c r="B201" s="148">
        <v>293</v>
      </c>
      <c r="D201" s="150" t="s">
        <v>465</v>
      </c>
      <c r="E201" s="150" t="s">
        <v>783</v>
      </c>
    </row>
    <row r="202" spans="2:5">
      <c r="B202" s="148">
        <v>294</v>
      </c>
      <c r="D202" s="150" t="s">
        <v>466</v>
      </c>
      <c r="E202" s="150" t="s">
        <v>784</v>
      </c>
    </row>
    <row r="203" spans="2:5">
      <c r="B203" s="148">
        <v>295</v>
      </c>
      <c r="D203" s="150" t="s">
        <v>467</v>
      </c>
      <c r="E203" s="150" t="s">
        <v>783</v>
      </c>
    </row>
    <row r="204" spans="2:5">
      <c r="B204" s="148">
        <v>296</v>
      </c>
      <c r="D204" s="150" t="s">
        <v>194</v>
      </c>
      <c r="E204" s="150" t="s">
        <v>785</v>
      </c>
    </row>
    <row r="205" spans="2:5">
      <c r="B205" s="148">
        <v>297</v>
      </c>
      <c r="D205" s="150" t="s">
        <v>468</v>
      </c>
      <c r="E205" s="150" t="s">
        <v>786</v>
      </c>
    </row>
    <row r="206" spans="2:5">
      <c r="B206" s="148">
        <v>298</v>
      </c>
      <c r="D206" s="150" t="s">
        <v>195</v>
      </c>
      <c r="E206" s="150" t="s">
        <v>787</v>
      </c>
    </row>
    <row r="207" spans="2:5">
      <c r="B207" s="148">
        <v>299</v>
      </c>
      <c r="D207" s="150" t="s">
        <v>498</v>
      </c>
      <c r="E207" s="150" t="s">
        <v>788</v>
      </c>
    </row>
    <row r="208" spans="2:5">
      <c r="B208" s="148">
        <v>300</v>
      </c>
      <c r="D208" s="150" t="s">
        <v>499</v>
      </c>
      <c r="E208" s="150" t="s">
        <v>789</v>
      </c>
    </row>
    <row r="209" spans="2:5">
      <c r="B209" s="148">
        <v>301</v>
      </c>
      <c r="D209" s="150" t="s">
        <v>196</v>
      </c>
      <c r="E209" s="150" t="s">
        <v>790</v>
      </c>
    </row>
    <row r="210" spans="2:5">
      <c r="B210" s="148">
        <v>302</v>
      </c>
      <c r="D210" s="150" t="s">
        <v>469</v>
      </c>
      <c r="E210" s="150" t="s">
        <v>791</v>
      </c>
    </row>
    <row r="211" spans="2:5">
      <c r="B211" s="148">
        <v>303</v>
      </c>
      <c r="D211" s="150" t="s">
        <v>197</v>
      </c>
      <c r="E211" s="150" t="s">
        <v>792</v>
      </c>
    </row>
    <row r="212" spans="2:5">
      <c r="B212" s="148">
        <v>304</v>
      </c>
      <c r="D212" s="150" t="s">
        <v>198</v>
      </c>
      <c r="E212" s="150" t="s">
        <v>793</v>
      </c>
    </row>
    <row r="213" spans="2:5">
      <c r="B213" s="148">
        <v>305</v>
      </c>
      <c r="D213" s="150" t="s">
        <v>199</v>
      </c>
      <c r="E213" s="150" t="s">
        <v>540</v>
      </c>
    </row>
    <row r="214" spans="2:5" ht="26.4">
      <c r="B214" s="148">
        <v>306</v>
      </c>
      <c r="D214" s="150" t="s">
        <v>200</v>
      </c>
      <c r="E214" s="150" t="s">
        <v>794</v>
      </c>
    </row>
    <row r="215" spans="2:5" ht="26.4">
      <c r="B215" s="148">
        <v>307</v>
      </c>
      <c r="D215" s="150" t="s">
        <v>500</v>
      </c>
      <c r="E215" s="150" t="s">
        <v>795</v>
      </c>
    </row>
    <row r="216" spans="2:5">
      <c r="B216" s="148">
        <v>308</v>
      </c>
      <c r="D216" s="150" t="s">
        <v>501</v>
      </c>
      <c r="E216" s="150" t="s">
        <v>796</v>
      </c>
    </row>
    <row r="217" spans="2:5">
      <c r="B217" s="148">
        <v>309</v>
      </c>
      <c r="D217" s="150" t="s">
        <v>470</v>
      </c>
      <c r="E217" s="150" t="s">
        <v>797</v>
      </c>
    </row>
    <row r="218" spans="2:5">
      <c r="B218" s="148">
        <v>310</v>
      </c>
      <c r="D218" s="150" t="s">
        <v>201</v>
      </c>
      <c r="E218" s="150" t="s">
        <v>798</v>
      </c>
    </row>
    <row r="219" spans="2:5">
      <c r="B219" s="148">
        <v>311</v>
      </c>
      <c r="D219" s="150" t="s">
        <v>471</v>
      </c>
      <c r="E219" s="150" t="s">
        <v>799</v>
      </c>
    </row>
    <row r="220" spans="2:5">
      <c r="B220" s="148">
        <v>312</v>
      </c>
      <c r="D220" s="150" t="s">
        <v>472</v>
      </c>
      <c r="E220" s="150" t="s">
        <v>800</v>
      </c>
    </row>
    <row r="221" spans="2:5">
      <c r="B221" s="148">
        <v>313</v>
      </c>
      <c r="D221" s="150" t="s">
        <v>202</v>
      </c>
      <c r="E221" s="150" t="s">
        <v>801</v>
      </c>
    </row>
    <row r="222" spans="2:5">
      <c r="B222" s="148">
        <v>314</v>
      </c>
      <c r="D222" s="150" t="s">
        <v>203</v>
      </c>
      <c r="E222" s="150" t="s">
        <v>802</v>
      </c>
    </row>
    <row r="223" spans="2:5">
      <c r="B223" s="148">
        <v>315</v>
      </c>
      <c r="D223" s="150" t="s">
        <v>473</v>
      </c>
      <c r="E223" s="150" t="s">
        <v>803</v>
      </c>
    </row>
    <row r="224" spans="2:5">
      <c r="B224" s="148">
        <v>316</v>
      </c>
      <c r="D224" s="150" t="s">
        <v>1155</v>
      </c>
      <c r="E224" s="150" t="s">
        <v>1156</v>
      </c>
    </row>
    <row r="225" spans="2:5">
      <c r="B225" s="148">
        <v>317</v>
      </c>
      <c r="D225" s="150" t="s">
        <v>1112</v>
      </c>
      <c r="E225" s="150" t="s">
        <v>1114</v>
      </c>
    </row>
    <row r="226" spans="2:5" ht="26.4">
      <c r="B226" s="148">
        <v>318</v>
      </c>
      <c r="D226" s="150" t="s">
        <v>1113</v>
      </c>
      <c r="E226" s="150" t="s">
        <v>1115</v>
      </c>
    </row>
    <row r="227" spans="2:5">
      <c r="B227" s="148">
        <v>319</v>
      </c>
      <c r="D227" s="150" t="s">
        <v>204</v>
      </c>
      <c r="E227" s="150" t="s">
        <v>804</v>
      </c>
    </row>
    <row r="228" spans="2:5">
      <c r="B228" s="148">
        <v>320</v>
      </c>
      <c r="C228" s="149" t="s">
        <v>516</v>
      </c>
      <c r="D228" s="150" t="s">
        <v>526</v>
      </c>
      <c r="E228" s="150" t="s">
        <v>527</v>
      </c>
    </row>
    <row r="229" spans="2:5">
      <c r="B229" s="148">
        <v>321</v>
      </c>
      <c r="D229" s="150" t="s">
        <v>205</v>
      </c>
      <c r="E229" s="150" t="s">
        <v>805</v>
      </c>
    </row>
    <row r="230" spans="2:5">
      <c r="B230" s="148">
        <v>322</v>
      </c>
      <c r="D230" s="150" t="s">
        <v>206</v>
      </c>
      <c r="E230" s="150" t="s">
        <v>806</v>
      </c>
    </row>
    <row r="231" spans="2:5">
      <c r="B231" s="148">
        <v>323</v>
      </c>
      <c r="D231" s="150" t="s">
        <v>207</v>
      </c>
      <c r="E231" s="150" t="s">
        <v>807</v>
      </c>
    </row>
    <row r="232" spans="2:5">
      <c r="B232" s="148">
        <v>324</v>
      </c>
      <c r="D232" s="150" t="s">
        <v>208</v>
      </c>
      <c r="E232" s="150" t="s">
        <v>808</v>
      </c>
    </row>
    <row r="233" spans="2:5">
      <c r="B233" s="148">
        <v>325</v>
      </c>
      <c r="D233" s="150" t="s">
        <v>209</v>
      </c>
      <c r="E233" s="150" t="s">
        <v>809</v>
      </c>
    </row>
    <row r="234" spans="2:5">
      <c r="B234" s="148">
        <v>326</v>
      </c>
      <c r="D234" s="150" t="s">
        <v>1069</v>
      </c>
      <c r="E234" s="150" t="s">
        <v>1070</v>
      </c>
    </row>
    <row r="235" spans="2:5">
      <c r="B235" s="148">
        <v>327</v>
      </c>
      <c r="D235" s="150" t="s">
        <v>1073</v>
      </c>
      <c r="E235" s="150" t="s">
        <v>1074</v>
      </c>
    </row>
    <row r="236" spans="2:5">
      <c r="B236" s="148">
        <v>328</v>
      </c>
      <c r="D236" s="150" t="s">
        <v>1100</v>
      </c>
      <c r="E236" s="150" t="s">
        <v>1101</v>
      </c>
    </row>
    <row r="237" spans="2:5">
      <c r="B237" s="148">
        <v>329</v>
      </c>
      <c r="D237" s="150" t="s">
        <v>210</v>
      </c>
      <c r="E237" s="150" t="s">
        <v>810</v>
      </c>
    </row>
    <row r="238" spans="2:5" ht="39.6">
      <c r="B238" s="148">
        <v>330</v>
      </c>
      <c r="D238" s="150" t="s">
        <v>211</v>
      </c>
      <c r="E238" s="150" t="s">
        <v>811</v>
      </c>
    </row>
    <row r="239" spans="2:5">
      <c r="B239" s="148">
        <v>331</v>
      </c>
      <c r="D239" s="150" t="s">
        <v>212</v>
      </c>
      <c r="E239" s="150" t="s">
        <v>812</v>
      </c>
    </row>
    <row r="240" spans="2:5">
      <c r="B240" s="148">
        <v>332</v>
      </c>
      <c r="D240" s="150" t="s">
        <v>213</v>
      </c>
      <c r="E240" s="150" t="s">
        <v>813</v>
      </c>
    </row>
    <row r="241" spans="1:6">
      <c r="A241" s="152"/>
      <c r="B241" s="148">
        <v>333</v>
      </c>
      <c r="C241" s="153" t="s">
        <v>497</v>
      </c>
      <c r="D241" s="151" t="s">
        <v>528</v>
      </c>
      <c r="E241" s="151" t="s">
        <v>544</v>
      </c>
      <c r="F241" s="154"/>
    </row>
    <row r="242" spans="1:6">
      <c r="A242" s="152"/>
      <c r="B242" s="148">
        <v>334</v>
      </c>
      <c r="C242" s="153" t="s">
        <v>497</v>
      </c>
      <c r="D242" s="151" t="s">
        <v>529</v>
      </c>
      <c r="E242" s="151" t="s">
        <v>814</v>
      </c>
      <c r="F242" s="154"/>
    </row>
    <row r="243" spans="1:6">
      <c r="A243" s="152"/>
      <c r="B243" s="148">
        <v>335</v>
      </c>
      <c r="C243" s="153" t="s">
        <v>514</v>
      </c>
      <c r="D243" s="151" t="s">
        <v>530</v>
      </c>
      <c r="E243" s="151" t="s">
        <v>815</v>
      </c>
      <c r="F243" s="154"/>
    </row>
    <row r="244" spans="1:6">
      <c r="B244" s="148">
        <v>336</v>
      </c>
      <c r="D244" s="150" t="s">
        <v>214</v>
      </c>
      <c r="E244" s="150" t="s">
        <v>544</v>
      </c>
    </row>
    <row r="245" spans="1:6">
      <c r="B245" s="148">
        <v>337</v>
      </c>
      <c r="D245" s="150" t="s">
        <v>215</v>
      </c>
      <c r="E245" s="151" t="s">
        <v>816</v>
      </c>
    </row>
    <row r="246" spans="1:6">
      <c r="B246" s="148">
        <v>338</v>
      </c>
      <c r="D246" s="150" t="s">
        <v>216</v>
      </c>
      <c r="E246" s="150" t="s">
        <v>817</v>
      </c>
    </row>
    <row r="247" spans="1:6">
      <c r="B247" s="148">
        <v>339</v>
      </c>
      <c r="D247" s="150" t="s">
        <v>217</v>
      </c>
      <c r="E247" s="150" t="s">
        <v>818</v>
      </c>
    </row>
    <row r="248" spans="1:6">
      <c r="B248" s="148">
        <v>340</v>
      </c>
      <c r="D248" s="150" t="s">
        <v>218</v>
      </c>
      <c r="E248" s="150" t="s">
        <v>819</v>
      </c>
    </row>
    <row r="249" spans="1:6">
      <c r="B249" s="148">
        <v>341</v>
      </c>
      <c r="D249" s="150" t="s">
        <v>219</v>
      </c>
      <c r="E249" s="150" t="s">
        <v>820</v>
      </c>
    </row>
    <row r="250" spans="1:6">
      <c r="B250" s="148">
        <v>342</v>
      </c>
      <c r="D250" s="150" t="s">
        <v>220</v>
      </c>
      <c r="E250" s="150" t="s">
        <v>821</v>
      </c>
    </row>
    <row r="251" spans="1:6">
      <c r="B251" s="148">
        <v>343</v>
      </c>
      <c r="D251" s="150" t="s">
        <v>221</v>
      </c>
      <c r="E251" s="150" t="s">
        <v>822</v>
      </c>
    </row>
    <row r="252" spans="1:6">
      <c r="B252" s="148">
        <v>344</v>
      </c>
      <c r="D252" s="150" t="s">
        <v>222</v>
      </c>
      <c r="E252" s="150" t="s">
        <v>823</v>
      </c>
    </row>
    <row r="253" spans="1:6">
      <c r="B253" s="148">
        <v>345</v>
      </c>
      <c r="D253" s="150" t="s">
        <v>223</v>
      </c>
      <c r="E253" s="150" t="s">
        <v>824</v>
      </c>
    </row>
    <row r="254" spans="1:6">
      <c r="B254" s="148">
        <v>346</v>
      </c>
      <c r="D254" s="150" t="s">
        <v>224</v>
      </c>
      <c r="E254" s="150" t="s">
        <v>825</v>
      </c>
    </row>
    <row r="255" spans="1:6">
      <c r="B255" s="148">
        <v>347</v>
      </c>
      <c r="D255" s="150" t="s">
        <v>225</v>
      </c>
      <c r="E255" s="150" t="s">
        <v>826</v>
      </c>
    </row>
    <row r="256" spans="1:6">
      <c r="B256" s="148">
        <v>348</v>
      </c>
      <c r="D256" s="150" t="s">
        <v>226</v>
      </c>
      <c r="E256" s="150" t="s">
        <v>827</v>
      </c>
    </row>
    <row r="257" spans="2:5">
      <c r="B257" s="148">
        <v>349</v>
      </c>
      <c r="D257" s="150" t="s">
        <v>227</v>
      </c>
      <c r="E257" s="150" t="s">
        <v>828</v>
      </c>
    </row>
    <row r="258" spans="2:5">
      <c r="B258" s="148">
        <v>350</v>
      </c>
      <c r="D258" s="150" t="s">
        <v>228</v>
      </c>
      <c r="E258" s="150" t="s">
        <v>1054</v>
      </c>
    </row>
    <row r="259" spans="2:5">
      <c r="B259" s="148">
        <v>351</v>
      </c>
      <c r="D259" s="150" t="s">
        <v>229</v>
      </c>
      <c r="E259" s="150" t="s">
        <v>829</v>
      </c>
    </row>
    <row r="260" spans="2:5">
      <c r="B260" s="148">
        <v>352</v>
      </c>
      <c r="D260" s="150" t="s">
        <v>230</v>
      </c>
      <c r="E260" s="150" t="s">
        <v>830</v>
      </c>
    </row>
    <row r="261" spans="2:5">
      <c r="B261" s="148">
        <v>353</v>
      </c>
      <c r="D261" s="150" t="s">
        <v>231</v>
      </c>
      <c r="E261" s="150" t="s">
        <v>831</v>
      </c>
    </row>
    <row r="262" spans="2:5">
      <c r="B262" s="148">
        <v>354</v>
      </c>
      <c r="D262" s="150" t="s">
        <v>232</v>
      </c>
      <c r="E262" s="150" t="s">
        <v>1077</v>
      </c>
    </row>
    <row r="263" spans="2:5">
      <c r="B263" s="148">
        <v>355</v>
      </c>
      <c r="D263" s="150" t="s">
        <v>233</v>
      </c>
      <c r="E263" s="150" t="s">
        <v>1078</v>
      </c>
    </row>
    <row r="264" spans="2:5">
      <c r="B264" s="148">
        <v>356</v>
      </c>
      <c r="D264" s="150" t="s">
        <v>474</v>
      </c>
      <c r="E264" s="150" t="s">
        <v>474</v>
      </c>
    </row>
    <row r="265" spans="2:5">
      <c r="B265" s="148">
        <v>357</v>
      </c>
      <c r="D265" s="150" t="s">
        <v>234</v>
      </c>
      <c r="E265" s="150" t="s">
        <v>1055</v>
      </c>
    </row>
    <row r="266" spans="2:5" ht="26.4">
      <c r="B266" s="148">
        <v>358</v>
      </c>
      <c r="D266" s="150" t="s">
        <v>235</v>
      </c>
      <c r="E266" s="150" t="s">
        <v>832</v>
      </c>
    </row>
    <row r="267" spans="2:5">
      <c r="B267" s="148">
        <v>359</v>
      </c>
      <c r="D267" s="150" t="s">
        <v>236</v>
      </c>
      <c r="E267" s="150" t="s">
        <v>833</v>
      </c>
    </row>
    <row r="268" spans="2:5">
      <c r="B268" s="148">
        <v>360</v>
      </c>
      <c r="D268" s="150" t="s">
        <v>237</v>
      </c>
      <c r="E268" s="150" t="s">
        <v>834</v>
      </c>
    </row>
    <row r="269" spans="2:5">
      <c r="B269" s="148">
        <v>361</v>
      </c>
      <c r="D269" s="151" t="s">
        <v>531</v>
      </c>
      <c r="E269" s="150" t="s">
        <v>532</v>
      </c>
    </row>
    <row r="270" spans="2:5">
      <c r="B270" s="148">
        <v>362</v>
      </c>
      <c r="D270" s="150" t="s">
        <v>475</v>
      </c>
      <c r="E270" s="150" t="s">
        <v>835</v>
      </c>
    </row>
    <row r="271" spans="2:5">
      <c r="B271" s="148">
        <v>363</v>
      </c>
      <c r="D271" s="150" t="s">
        <v>238</v>
      </c>
      <c r="E271" s="150" t="s">
        <v>836</v>
      </c>
    </row>
    <row r="272" spans="2:5">
      <c r="B272" s="148">
        <v>364</v>
      </c>
      <c r="D272" s="150" t="s">
        <v>476</v>
      </c>
      <c r="E272" s="150" t="s">
        <v>1002</v>
      </c>
    </row>
    <row r="273" spans="2:5">
      <c r="B273" s="148">
        <v>365</v>
      </c>
      <c r="D273" s="150" t="s">
        <v>239</v>
      </c>
      <c r="E273" s="150" t="s">
        <v>837</v>
      </c>
    </row>
    <row r="274" spans="2:5">
      <c r="B274" s="148">
        <v>366</v>
      </c>
      <c r="D274" s="150" t="s">
        <v>240</v>
      </c>
      <c r="E274" s="150" t="s">
        <v>838</v>
      </c>
    </row>
    <row r="275" spans="2:5">
      <c r="B275" s="148">
        <v>367</v>
      </c>
      <c r="D275" s="150" t="s">
        <v>241</v>
      </c>
      <c r="E275" s="150" t="s">
        <v>595</v>
      </c>
    </row>
    <row r="276" spans="2:5">
      <c r="B276" s="148">
        <v>368</v>
      </c>
      <c r="D276" s="150" t="s">
        <v>242</v>
      </c>
      <c r="E276" s="150" t="s">
        <v>839</v>
      </c>
    </row>
    <row r="277" spans="2:5">
      <c r="B277" s="148">
        <v>369</v>
      </c>
      <c r="D277" s="150" t="s">
        <v>243</v>
      </c>
      <c r="E277" s="150" t="s">
        <v>840</v>
      </c>
    </row>
    <row r="278" spans="2:5">
      <c r="B278" s="148">
        <v>370</v>
      </c>
      <c r="D278" s="150" t="s">
        <v>244</v>
      </c>
    </row>
    <row r="279" spans="2:5">
      <c r="B279" s="148">
        <v>371</v>
      </c>
      <c r="D279" s="150" t="s">
        <v>477</v>
      </c>
      <c r="E279" s="150" t="s">
        <v>841</v>
      </c>
    </row>
    <row r="280" spans="2:5" ht="26.4">
      <c r="B280" s="148">
        <v>372</v>
      </c>
      <c r="D280" s="150" t="s">
        <v>478</v>
      </c>
      <c r="E280" s="150" t="s">
        <v>842</v>
      </c>
    </row>
    <row r="281" spans="2:5" ht="26.4">
      <c r="B281" s="148">
        <v>373</v>
      </c>
      <c r="D281" s="150" t="s">
        <v>245</v>
      </c>
      <c r="E281" s="150" t="s">
        <v>843</v>
      </c>
    </row>
    <row r="282" spans="2:5">
      <c r="B282" s="148">
        <v>374</v>
      </c>
      <c r="D282" s="150" t="s">
        <v>246</v>
      </c>
      <c r="E282" s="150" t="s">
        <v>844</v>
      </c>
    </row>
    <row r="283" spans="2:5">
      <c r="B283" s="148">
        <v>375</v>
      </c>
      <c r="D283" s="150" t="s">
        <v>247</v>
      </c>
      <c r="E283" s="150" t="s">
        <v>845</v>
      </c>
    </row>
    <row r="284" spans="2:5">
      <c r="B284" s="148">
        <v>376</v>
      </c>
      <c r="D284" s="150" t="s">
        <v>248</v>
      </c>
      <c r="E284" s="150" t="s">
        <v>846</v>
      </c>
    </row>
    <row r="285" spans="2:5">
      <c r="B285" s="148">
        <v>377</v>
      </c>
      <c r="D285" s="150" t="s">
        <v>249</v>
      </c>
      <c r="E285" s="150" t="s">
        <v>847</v>
      </c>
    </row>
    <row r="286" spans="2:5">
      <c r="B286" s="148">
        <v>378</v>
      </c>
      <c r="D286" s="150" t="s">
        <v>250</v>
      </c>
      <c r="E286" s="150" t="s">
        <v>848</v>
      </c>
    </row>
    <row r="287" spans="2:5">
      <c r="B287" s="148">
        <v>379</v>
      </c>
      <c r="D287" s="150" t="s">
        <v>251</v>
      </c>
      <c r="E287" s="150" t="s">
        <v>849</v>
      </c>
    </row>
    <row r="288" spans="2:5">
      <c r="B288" s="148">
        <v>380</v>
      </c>
      <c r="D288" s="150" t="s">
        <v>252</v>
      </c>
      <c r="E288" s="150" t="s">
        <v>850</v>
      </c>
    </row>
    <row r="289" spans="2:5">
      <c r="B289" s="148">
        <v>381</v>
      </c>
      <c r="D289" s="150" t="s">
        <v>253</v>
      </c>
      <c r="E289" s="150" t="s">
        <v>582</v>
      </c>
    </row>
    <row r="290" spans="2:5">
      <c r="B290" s="148">
        <v>382</v>
      </c>
      <c r="D290" s="150" t="s">
        <v>254</v>
      </c>
      <c r="E290" s="150" t="s">
        <v>851</v>
      </c>
    </row>
    <row r="291" spans="2:5">
      <c r="B291" s="148">
        <v>383</v>
      </c>
      <c r="D291" s="150" t="s">
        <v>255</v>
      </c>
      <c r="E291" s="150" t="s">
        <v>852</v>
      </c>
    </row>
    <row r="292" spans="2:5">
      <c r="B292" s="148">
        <v>384</v>
      </c>
      <c r="D292" s="150" t="s">
        <v>256</v>
      </c>
      <c r="E292" s="150" t="s">
        <v>853</v>
      </c>
    </row>
    <row r="293" spans="2:5">
      <c r="B293" s="148">
        <v>385</v>
      </c>
      <c r="D293" s="150" t="s">
        <v>257</v>
      </c>
      <c r="E293" s="150" t="s">
        <v>854</v>
      </c>
    </row>
    <row r="294" spans="2:5">
      <c r="B294" s="148">
        <v>386</v>
      </c>
      <c r="D294" s="150" t="s">
        <v>258</v>
      </c>
      <c r="E294" s="150" t="s">
        <v>855</v>
      </c>
    </row>
    <row r="295" spans="2:5">
      <c r="B295" s="148">
        <v>387</v>
      </c>
      <c r="D295" s="150" t="s">
        <v>259</v>
      </c>
      <c r="E295" s="150" t="s">
        <v>856</v>
      </c>
    </row>
    <row r="296" spans="2:5">
      <c r="B296" s="148">
        <v>388</v>
      </c>
      <c r="D296" s="150" t="s">
        <v>260</v>
      </c>
      <c r="E296" s="150" t="s">
        <v>590</v>
      </c>
    </row>
    <row r="297" spans="2:5">
      <c r="B297" s="148">
        <v>389</v>
      </c>
      <c r="D297" s="150" t="s">
        <v>261</v>
      </c>
      <c r="E297" s="150" t="s">
        <v>857</v>
      </c>
    </row>
    <row r="298" spans="2:5">
      <c r="B298" s="148">
        <v>390</v>
      </c>
      <c r="D298" s="150" t="s">
        <v>262</v>
      </c>
      <c r="E298" s="150" t="s">
        <v>858</v>
      </c>
    </row>
    <row r="299" spans="2:5" ht="39.6">
      <c r="B299" s="148">
        <v>391</v>
      </c>
      <c r="D299" s="150" t="s">
        <v>263</v>
      </c>
      <c r="E299" s="150" t="s">
        <v>859</v>
      </c>
    </row>
    <row r="300" spans="2:5">
      <c r="B300" s="148">
        <v>392</v>
      </c>
      <c r="D300" s="150" t="s">
        <v>264</v>
      </c>
      <c r="E300" s="150" t="s">
        <v>860</v>
      </c>
    </row>
    <row r="301" spans="2:5" ht="26.4">
      <c r="B301" s="148">
        <v>393</v>
      </c>
      <c r="D301" s="150" t="s">
        <v>265</v>
      </c>
      <c r="E301" s="150" t="s">
        <v>861</v>
      </c>
    </row>
    <row r="302" spans="2:5">
      <c r="B302" s="148">
        <v>394</v>
      </c>
      <c r="D302" s="150" t="s">
        <v>266</v>
      </c>
      <c r="E302" s="150" t="s">
        <v>862</v>
      </c>
    </row>
    <row r="303" spans="2:5" ht="26.4">
      <c r="B303" s="148">
        <v>395</v>
      </c>
      <c r="D303" s="150" t="s">
        <v>267</v>
      </c>
      <c r="E303" s="150" t="s">
        <v>863</v>
      </c>
    </row>
    <row r="304" spans="2:5" ht="26.4">
      <c r="B304" s="148">
        <v>396</v>
      </c>
      <c r="D304" s="150" t="s">
        <v>268</v>
      </c>
      <c r="E304" s="150" t="s">
        <v>864</v>
      </c>
    </row>
    <row r="305" spans="2:5" ht="26.4">
      <c r="B305" s="148">
        <v>397</v>
      </c>
      <c r="D305" s="150" t="s">
        <v>269</v>
      </c>
      <c r="E305" s="150" t="s">
        <v>865</v>
      </c>
    </row>
    <row r="306" spans="2:5" ht="26.4">
      <c r="B306" s="148">
        <v>398</v>
      </c>
      <c r="D306" s="150" t="s">
        <v>270</v>
      </c>
      <c r="E306" s="150" t="s">
        <v>866</v>
      </c>
    </row>
    <row r="307" spans="2:5" ht="26.4">
      <c r="B307" s="148">
        <v>399</v>
      </c>
      <c r="D307" s="150" t="s">
        <v>271</v>
      </c>
      <c r="E307" s="150" t="s">
        <v>867</v>
      </c>
    </row>
    <row r="308" spans="2:5" ht="26.4">
      <c r="B308" s="148">
        <v>400</v>
      </c>
      <c r="D308" s="150" t="s">
        <v>272</v>
      </c>
      <c r="E308" s="150" t="s">
        <v>868</v>
      </c>
    </row>
    <row r="309" spans="2:5" ht="26.4">
      <c r="B309" s="148">
        <v>401</v>
      </c>
      <c r="D309" s="150" t="s">
        <v>273</v>
      </c>
      <c r="E309" s="150" t="s">
        <v>869</v>
      </c>
    </row>
    <row r="310" spans="2:5" ht="26.4">
      <c r="B310" s="148">
        <v>402</v>
      </c>
      <c r="D310" s="150" t="s">
        <v>274</v>
      </c>
      <c r="E310" s="150" t="s">
        <v>870</v>
      </c>
    </row>
    <row r="311" spans="2:5" ht="26.4">
      <c r="B311" s="148">
        <v>403</v>
      </c>
      <c r="D311" s="150" t="s">
        <v>275</v>
      </c>
      <c r="E311" s="150" t="s">
        <v>871</v>
      </c>
    </row>
    <row r="312" spans="2:5" ht="26.4">
      <c r="B312" s="148">
        <v>404</v>
      </c>
      <c r="D312" s="150" t="s">
        <v>276</v>
      </c>
      <c r="E312" s="150" t="s">
        <v>872</v>
      </c>
    </row>
    <row r="313" spans="2:5" ht="26.4">
      <c r="B313" s="148">
        <v>405</v>
      </c>
      <c r="D313" s="150" t="s">
        <v>277</v>
      </c>
      <c r="E313" s="150" t="s">
        <v>873</v>
      </c>
    </row>
    <row r="314" spans="2:5" ht="26.4">
      <c r="B314" s="148">
        <v>406</v>
      </c>
      <c r="D314" s="150" t="s">
        <v>278</v>
      </c>
      <c r="E314" s="150" t="s">
        <v>874</v>
      </c>
    </row>
    <row r="315" spans="2:5" ht="26.4">
      <c r="B315" s="148">
        <v>407</v>
      </c>
      <c r="D315" s="150" t="s">
        <v>279</v>
      </c>
      <c r="E315" s="150" t="s">
        <v>875</v>
      </c>
    </row>
    <row r="316" spans="2:5" ht="26.4">
      <c r="B316" s="148">
        <v>408</v>
      </c>
      <c r="D316" s="150" t="s">
        <v>280</v>
      </c>
      <c r="E316" s="150" t="s">
        <v>876</v>
      </c>
    </row>
    <row r="317" spans="2:5" ht="26.4">
      <c r="B317" s="148">
        <v>409</v>
      </c>
      <c r="D317" s="150" t="s">
        <v>281</v>
      </c>
      <c r="E317" s="150" t="s">
        <v>877</v>
      </c>
    </row>
    <row r="318" spans="2:5" ht="26.4">
      <c r="B318" s="148">
        <v>410</v>
      </c>
      <c r="D318" s="150" t="s">
        <v>282</v>
      </c>
      <c r="E318" s="150" t="s">
        <v>878</v>
      </c>
    </row>
    <row r="319" spans="2:5" ht="26.4">
      <c r="B319" s="148">
        <v>411</v>
      </c>
      <c r="D319" s="150" t="s">
        <v>283</v>
      </c>
      <c r="E319" s="150" t="s">
        <v>879</v>
      </c>
    </row>
    <row r="320" spans="2:5" ht="26.4">
      <c r="B320" s="148">
        <v>412</v>
      </c>
      <c r="D320" s="150" t="s">
        <v>284</v>
      </c>
      <c r="E320" s="150" t="s">
        <v>880</v>
      </c>
    </row>
    <row r="321" spans="2:5" ht="26.4">
      <c r="B321" s="148">
        <v>413</v>
      </c>
      <c r="D321" s="150" t="s">
        <v>285</v>
      </c>
      <c r="E321" s="150" t="s">
        <v>881</v>
      </c>
    </row>
    <row r="322" spans="2:5">
      <c r="B322" s="148">
        <v>414</v>
      </c>
      <c r="D322" s="150" t="s">
        <v>479</v>
      </c>
      <c r="E322" s="150" t="s">
        <v>882</v>
      </c>
    </row>
    <row r="323" spans="2:5">
      <c r="B323" s="148">
        <v>415</v>
      </c>
      <c r="D323" s="150" t="s">
        <v>480</v>
      </c>
      <c r="E323" s="150" t="s">
        <v>882</v>
      </c>
    </row>
    <row r="324" spans="2:5">
      <c r="B324" s="148">
        <v>416</v>
      </c>
      <c r="D324" s="150" t="s">
        <v>286</v>
      </c>
      <c r="E324" s="150" t="s">
        <v>883</v>
      </c>
    </row>
    <row r="325" spans="2:5" ht="26.4">
      <c r="B325" s="148">
        <v>417</v>
      </c>
      <c r="D325" s="150" t="s">
        <v>287</v>
      </c>
      <c r="E325" s="150" t="s">
        <v>884</v>
      </c>
    </row>
    <row r="326" spans="2:5">
      <c r="B326" s="148">
        <v>418</v>
      </c>
      <c r="D326" s="150" t="s">
        <v>288</v>
      </c>
      <c r="E326" s="150" t="s">
        <v>885</v>
      </c>
    </row>
    <row r="327" spans="2:5" ht="26.4">
      <c r="B327" s="148">
        <v>419</v>
      </c>
      <c r="D327" s="150" t="s">
        <v>289</v>
      </c>
      <c r="E327" s="150" t="s">
        <v>886</v>
      </c>
    </row>
    <row r="328" spans="2:5">
      <c r="B328" s="148">
        <v>420</v>
      </c>
      <c r="D328" s="150" t="s">
        <v>481</v>
      </c>
      <c r="E328" s="150" t="s">
        <v>887</v>
      </c>
    </row>
    <row r="329" spans="2:5" ht="26.4">
      <c r="B329" s="148">
        <v>421</v>
      </c>
      <c r="D329" s="150" t="s">
        <v>482</v>
      </c>
      <c r="E329" s="150" t="s">
        <v>888</v>
      </c>
    </row>
    <row r="330" spans="2:5">
      <c r="B330" s="148">
        <v>422</v>
      </c>
      <c r="D330" s="150" t="s">
        <v>290</v>
      </c>
      <c r="E330" s="150" t="s">
        <v>889</v>
      </c>
    </row>
    <row r="331" spans="2:5" ht="26.4">
      <c r="B331" s="148">
        <v>423</v>
      </c>
      <c r="D331" s="150" t="s">
        <v>291</v>
      </c>
      <c r="E331" s="150" t="s">
        <v>890</v>
      </c>
    </row>
    <row r="332" spans="2:5">
      <c r="B332" s="148">
        <v>424</v>
      </c>
      <c r="D332" s="150" t="s">
        <v>292</v>
      </c>
      <c r="E332" s="150" t="s">
        <v>891</v>
      </c>
    </row>
    <row r="333" spans="2:5" ht="39.6">
      <c r="B333" s="148">
        <v>425</v>
      </c>
      <c r="D333" s="150" t="s">
        <v>293</v>
      </c>
      <c r="E333" s="150" t="s">
        <v>892</v>
      </c>
    </row>
    <row r="334" spans="2:5">
      <c r="B334" s="148">
        <v>426</v>
      </c>
      <c r="D334" s="150" t="s">
        <v>294</v>
      </c>
      <c r="E334" s="150" t="s">
        <v>893</v>
      </c>
    </row>
    <row r="335" spans="2:5" ht="26.4">
      <c r="B335" s="148">
        <v>427</v>
      </c>
      <c r="D335" s="150" t="s">
        <v>295</v>
      </c>
      <c r="E335" s="150" t="s">
        <v>894</v>
      </c>
    </row>
    <row r="336" spans="2:5" ht="26.4">
      <c r="B336" s="148">
        <v>428</v>
      </c>
      <c r="D336" s="150" t="s">
        <v>296</v>
      </c>
      <c r="E336" s="150" t="s">
        <v>895</v>
      </c>
    </row>
    <row r="337" spans="1:6" ht="26.4">
      <c r="B337" s="148">
        <v>429</v>
      </c>
      <c r="D337" s="150" t="s">
        <v>297</v>
      </c>
      <c r="E337" s="150" t="s">
        <v>896</v>
      </c>
    </row>
    <row r="338" spans="1:6">
      <c r="B338" s="148">
        <v>430</v>
      </c>
      <c r="D338" s="150" t="s">
        <v>298</v>
      </c>
      <c r="E338" s="150" t="s">
        <v>897</v>
      </c>
    </row>
    <row r="339" spans="1:6">
      <c r="B339" s="148">
        <v>431</v>
      </c>
      <c r="D339" s="150" t="s">
        <v>299</v>
      </c>
      <c r="E339" s="150" t="s">
        <v>898</v>
      </c>
    </row>
    <row r="340" spans="1:6">
      <c r="B340" s="148">
        <v>432</v>
      </c>
      <c r="D340" s="150" t="s">
        <v>300</v>
      </c>
      <c r="E340" s="150" t="s">
        <v>899</v>
      </c>
    </row>
    <row r="341" spans="1:6">
      <c r="B341" s="148">
        <v>433</v>
      </c>
      <c r="D341" s="150" t="s">
        <v>301</v>
      </c>
      <c r="E341" s="150" t="s">
        <v>900</v>
      </c>
    </row>
    <row r="342" spans="1:6">
      <c r="B342" s="148">
        <v>434</v>
      </c>
      <c r="D342" s="150" t="s">
        <v>302</v>
      </c>
      <c r="E342" s="150" t="s">
        <v>901</v>
      </c>
    </row>
    <row r="343" spans="1:6">
      <c r="B343" s="148">
        <v>435</v>
      </c>
      <c r="D343" s="150" t="s">
        <v>303</v>
      </c>
      <c r="E343" s="150" t="s">
        <v>902</v>
      </c>
    </row>
    <row r="344" spans="1:6">
      <c r="B344" s="148">
        <v>436</v>
      </c>
      <c r="D344" s="150" t="s">
        <v>483</v>
      </c>
      <c r="E344" s="150" t="s">
        <v>903</v>
      </c>
    </row>
    <row r="345" spans="1:6" ht="39.6">
      <c r="A345" s="151"/>
      <c r="B345" s="148">
        <v>437</v>
      </c>
      <c r="C345" s="158" t="s">
        <v>516</v>
      </c>
      <c r="D345" s="151" t="s">
        <v>533</v>
      </c>
      <c r="E345" s="151" t="s">
        <v>904</v>
      </c>
      <c r="F345" s="154"/>
    </row>
    <row r="346" spans="1:6" ht="39.6">
      <c r="B346" s="148">
        <v>438</v>
      </c>
      <c r="D346" s="150" t="s">
        <v>304</v>
      </c>
      <c r="E346" s="150" t="s">
        <v>905</v>
      </c>
    </row>
    <row r="347" spans="1:6">
      <c r="B347" s="148">
        <v>439</v>
      </c>
      <c r="D347" s="150" t="s">
        <v>305</v>
      </c>
      <c r="E347" s="150" t="s">
        <v>906</v>
      </c>
    </row>
    <row r="348" spans="1:6">
      <c r="B348" s="148">
        <v>440</v>
      </c>
      <c r="D348" s="150" t="s">
        <v>306</v>
      </c>
      <c r="E348" s="150" t="s">
        <v>907</v>
      </c>
    </row>
    <row r="349" spans="1:6">
      <c r="B349" s="148">
        <v>441</v>
      </c>
      <c r="D349" s="150" t="s">
        <v>307</v>
      </c>
      <c r="E349" s="150" t="s">
        <v>908</v>
      </c>
    </row>
    <row r="350" spans="1:6" ht="26.4">
      <c r="B350" s="148">
        <v>442</v>
      </c>
      <c r="D350" s="150" t="s">
        <v>1026</v>
      </c>
      <c r="E350" s="150" t="s">
        <v>1027</v>
      </c>
    </row>
    <row r="351" spans="1:6">
      <c r="B351" s="148">
        <v>443</v>
      </c>
      <c r="D351" s="150" t="s">
        <v>308</v>
      </c>
      <c r="E351" s="150" t="s">
        <v>909</v>
      </c>
    </row>
    <row r="352" spans="1:6">
      <c r="B352" s="148">
        <v>444</v>
      </c>
      <c r="D352" s="150" t="s">
        <v>309</v>
      </c>
      <c r="E352" s="150" t="s">
        <v>910</v>
      </c>
    </row>
    <row r="353" spans="2:5">
      <c r="B353" s="148">
        <v>445</v>
      </c>
      <c r="D353" s="150" t="s">
        <v>310</v>
      </c>
      <c r="E353" s="150" t="s">
        <v>911</v>
      </c>
    </row>
    <row r="354" spans="2:5">
      <c r="B354" s="148">
        <v>446</v>
      </c>
      <c r="D354" s="150" t="s">
        <v>311</v>
      </c>
      <c r="E354" s="150" t="s">
        <v>912</v>
      </c>
    </row>
    <row r="355" spans="2:5">
      <c r="B355" s="148">
        <v>447</v>
      </c>
      <c r="D355" s="150" t="s">
        <v>484</v>
      </c>
      <c r="E355" s="150" t="s">
        <v>913</v>
      </c>
    </row>
    <row r="356" spans="2:5">
      <c r="B356" s="148">
        <v>448</v>
      </c>
      <c r="D356" s="150" t="s">
        <v>312</v>
      </c>
      <c r="E356" s="150" t="s">
        <v>914</v>
      </c>
    </row>
    <row r="357" spans="2:5">
      <c r="B357" s="148">
        <v>449</v>
      </c>
      <c r="D357" s="150" t="s">
        <v>485</v>
      </c>
      <c r="E357" s="150" t="s">
        <v>915</v>
      </c>
    </row>
    <row r="358" spans="2:5" ht="26.4">
      <c r="B358" s="148">
        <v>450</v>
      </c>
      <c r="D358" s="150" t="s">
        <v>313</v>
      </c>
      <c r="E358" s="150" t="s">
        <v>916</v>
      </c>
    </row>
    <row r="359" spans="2:5">
      <c r="B359" s="148">
        <v>451</v>
      </c>
      <c r="D359" s="150" t="s">
        <v>314</v>
      </c>
      <c r="E359" s="150" t="s">
        <v>917</v>
      </c>
    </row>
    <row r="360" spans="2:5">
      <c r="B360" s="148">
        <v>452</v>
      </c>
      <c r="D360" s="150" t="s">
        <v>315</v>
      </c>
      <c r="E360" s="150" t="s">
        <v>918</v>
      </c>
    </row>
    <row r="361" spans="2:5">
      <c r="B361" s="148">
        <v>453</v>
      </c>
      <c r="D361" s="150" t="s">
        <v>316</v>
      </c>
      <c r="E361" s="150" t="s">
        <v>919</v>
      </c>
    </row>
    <row r="362" spans="2:5" ht="39.6">
      <c r="B362" s="148">
        <v>454</v>
      </c>
      <c r="D362" s="150" t="s">
        <v>383</v>
      </c>
      <c r="E362" s="150" t="s">
        <v>920</v>
      </c>
    </row>
    <row r="363" spans="2:5">
      <c r="B363" s="148">
        <v>455</v>
      </c>
      <c r="D363" s="150" t="s">
        <v>317</v>
      </c>
      <c r="E363" s="150" t="s">
        <v>921</v>
      </c>
    </row>
    <row r="364" spans="2:5">
      <c r="B364" s="148">
        <v>456</v>
      </c>
      <c r="D364" s="150" t="s">
        <v>318</v>
      </c>
      <c r="E364" s="150" t="s">
        <v>922</v>
      </c>
    </row>
    <row r="365" spans="2:5">
      <c r="B365" s="148">
        <v>457</v>
      </c>
      <c r="D365" s="150" t="s">
        <v>319</v>
      </c>
      <c r="E365" s="150" t="s">
        <v>923</v>
      </c>
    </row>
    <row r="366" spans="2:5">
      <c r="B366" s="148">
        <v>458</v>
      </c>
      <c r="D366" s="150" t="s">
        <v>320</v>
      </c>
      <c r="E366" s="150" t="s">
        <v>924</v>
      </c>
    </row>
    <row r="367" spans="2:5">
      <c r="B367" s="148">
        <v>459</v>
      </c>
      <c r="D367" s="150" t="s">
        <v>321</v>
      </c>
      <c r="E367" s="150" t="s">
        <v>925</v>
      </c>
    </row>
    <row r="368" spans="2:5" ht="26.4">
      <c r="B368" s="148">
        <v>460</v>
      </c>
      <c r="D368" s="150" t="s">
        <v>322</v>
      </c>
      <c r="E368" s="150" t="s">
        <v>926</v>
      </c>
    </row>
    <row r="369" spans="1:6">
      <c r="B369" s="148">
        <v>461</v>
      </c>
      <c r="D369" s="150" t="s">
        <v>323</v>
      </c>
      <c r="E369" s="150" t="s">
        <v>927</v>
      </c>
    </row>
    <row r="370" spans="1:6">
      <c r="B370" s="148">
        <v>462</v>
      </c>
      <c r="D370" s="150" t="s">
        <v>324</v>
      </c>
      <c r="E370" s="150" t="s">
        <v>928</v>
      </c>
    </row>
    <row r="371" spans="1:6">
      <c r="B371" s="148">
        <v>463</v>
      </c>
      <c r="D371" s="150" t="s">
        <v>325</v>
      </c>
      <c r="E371" s="150" t="s">
        <v>929</v>
      </c>
    </row>
    <row r="372" spans="1:6" ht="26.4">
      <c r="B372" s="148">
        <v>464</v>
      </c>
      <c r="D372" s="150" t="s">
        <v>486</v>
      </c>
      <c r="E372" s="150" t="s">
        <v>930</v>
      </c>
    </row>
    <row r="373" spans="1:6">
      <c r="B373" s="148">
        <v>465</v>
      </c>
      <c r="D373" s="150" t="s">
        <v>326</v>
      </c>
      <c r="E373" s="150" t="s">
        <v>931</v>
      </c>
    </row>
    <row r="374" spans="1:6">
      <c r="B374" s="148">
        <v>466</v>
      </c>
      <c r="D374" s="150" t="s">
        <v>327</v>
      </c>
      <c r="E374" s="150" t="s">
        <v>932</v>
      </c>
    </row>
    <row r="375" spans="1:6">
      <c r="B375" s="148">
        <v>467</v>
      </c>
      <c r="D375" s="150" t="s">
        <v>328</v>
      </c>
      <c r="E375" s="150" t="s">
        <v>933</v>
      </c>
    </row>
    <row r="376" spans="1:6">
      <c r="B376" s="148">
        <v>468</v>
      </c>
      <c r="D376" s="150" t="s">
        <v>487</v>
      </c>
      <c r="E376" s="150" t="s">
        <v>934</v>
      </c>
    </row>
    <row r="377" spans="1:6" ht="26.4">
      <c r="B377" s="148">
        <v>469</v>
      </c>
      <c r="D377" s="150" t="s">
        <v>488</v>
      </c>
      <c r="E377" s="150" t="s">
        <v>935</v>
      </c>
    </row>
    <row r="378" spans="1:6">
      <c r="B378" s="148">
        <v>470</v>
      </c>
      <c r="D378" s="150" t="s">
        <v>329</v>
      </c>
      <c r="E378" s="150" t="s">
        <v>936</v>
      </c>
    </row>
    <row r="379" spans="1:6">
      <c r="B379" s="148">
        <v>471</v>
      </c>
      <c r="D379" s="150" t="s">
        <v>330</v>
      </c>
      <c r="E379" s="150" t="s">
        <v>937</v>
      </c>
    </row>
    <row r="380" spans="1:6">
      <c r="B380" s="148">
        <v>472</v>
      </c>
      <c r="D380" s="150" t="s">
        <v>331</v>
      </c>
      <c r="E380" s="150" t="s">
        <v>938</v>
      </c>
    </row>
    <row r="381" spans="1:6" ht="39.6">
      <c r="B381" s="148">
        <v>473</v>
      </c>
      <c r="D381" s="150" t="s">
        <v>332</v>
      </c>
      <c r="E381" s="150" t="s">
        <v>939</v>
      </c>
    </row>
    <row r="382" spans="1:6">
      <c r="B382" s="148">
        <v>474</v>
      </c>
      <c r="D382" s="150" t="s">
        <v>333</v>
      </c>
      <c r="E382" s="150" t="s">
        <v>940</v>
      </c>
    </row>
    <row r="383" spans="1:6">
      <c r="A383" s="152"/>
      <c r="B383" s="148">
        <v>475</v>
      </c>
      <c r="C383" s="153" t="s">
        <v>497</v>
      </c>
      <c r="D383" s="151" t="s">
        <v>503</v>
      </c>
      <c r="E383" s="151" t="s">
        <v>941</v>
      </c>
      <c r="F383" s="154"/>
    </row>
    <row r="384" spans="1:6">
      <c r="A384" s="152"/>
      <c r="B384" s="148">
        <v>476</v>
      </c>
      <c r="C384" s="153" t="s">
        <v>497</v>
      </c>
      <c r="D384" s="151" t="s">
        <v>534</v>
      </c>
      <c r="E384" s="151" t="s">
        <v>942</v>
      </c>
      <c r="F384" s="154"/>
    </row>
    <row r="385" spans="2:5">
      <c r="B385" s="148">
        <v>477</v>
      </c>
      <c r="D385" s="150" t="s">
        <v>334</v>
      </c>
      <c r="E385" s="151" t="s">
        <v>943</v>
      </c>
    </row>
    <row r="386" spans="2:5">
      <c r="B386" s="148">
        <v>478</v>
      </c>
      <c r="D386" s="150" t="s">
        <v>335</v>
      </c>
      <c r="E386" s="150" t="s">
        <v>944</v>
      </c>
    </row>
    <row r="387" spans="2:5">
      <c r="B387" s="148">
        <v>479</v>
      </c>
      <c r="D387" s="150" t="s">
        <v>336</v>
      </c>
      <c r="E387" s="150" t="s">
        <v>945</v>
      </c>
    </row>
    <row r="388" spans="2:5" ht="26.4">
      <c r="B388" s="148">
        <v>480</v>
      </c>
      <c r="D388" s="150" t="s">
        <v>337</v>
      </c>
      <c r="E388" s="150" t="s">
        <v>946</v>
      </c>
    </row>
    <row r="389" spans="2:5">
      <c r="B389" s="148">
        <v>481</v>
      </c>
      <c r="D389" s="150" t="s">
        <v>338</v>
      </c>
      <c r="E389" s="150" t="s">
        <v>947</v>
      </c>
    </row>
    <row r="390" spans="2:5" ht="26.4">
      <c r="B390" s="148">
        <v>482</v>
      </c>
      <c r="D390" s="150" t="s">
        <v>339</v>
      </c>
      <c r="E390" s="150" t="s">
        <v>948</v>
      </c>
    </row>
    <row r="391" spans="2:5">
      <c r="B391" s="148">
        <v>483</v>
      </c>
      <c r="D391" s="150" t="s">
        <v>340</v>
      </c>
      <c r="E391" s="150" t="s">
        <v>1053</v>
      </c>
    </row>
    <row r="392" spans="2:5">
      <c r="B392" s="148">
        <v>484</v>
      </c>
      <c r="D392" s="150" t="s">
        <v>341</v>
      </c>
      <c r="E392" s="150" t="s">
        <v>949</v>
      </c>
    </row>
    <row r="393" spans="2:5">
      <c r="B393" s="148">
        <v>485</v>
      </c>
      <c r="D393" s="150" t="s">
        <v>342</v>
      </c>
      <c r="E393" s="150" t="s">
        <v>950</v>
      </c>
    </row>
    <row r="394" spans="2:5">
      <c r="B394" s="148">
        <v>486</v>
      </c>
      <c r="D394" s="150" t="s">
        <v>343</v>
      </c>
      <c r="E394" s="150" t="s">
        <v>951</v>
      </c>
    </row>
    <row r="395" spans="2:5">
      <c r="B395" s="148">
        <v>487</v>
      </c>
      <c r="D395" s="150" t="s">
        <v>344</v>
      </c>
      <c r="E395" s="150" t="s">
        <v>952</v>
      </c>
    </row>
    <row r="396" spans="2:5">
      <c r="B396" s="148">
        <v>488</v>
      </c>
      <c r="D396" s="150" t="s">
        <v>345</v>
      </c>
      <c r="E396" s="150" t="s">
        <v>953</v>
      </c>
    </row>
    <row r="397" spans="2:5">
      <c r="B397" s="148">
        <v>489</v>
      </c>
      <c r="D397" s="150" t="s">
        <v>346</v>
      </c>
      <c r="E397" s="150" t="s">
        <v>346</v>
      </c>
    </row>
    <row r="398" spans="2:5">
      <c r="B398" s="148">
        <v>490</v>
      </c>
      <c r="D398" s="150" t="s">
        <v>489</v>
      </c>
      <c r="E398" s="150" t="s">
        <v>954</v>
      </c>
    </row>
    <row r="399" spans="2:5">
      <c r="B399" s="148">
        <v>491</v>
      </c>
      <c r="D399" s="150" t="s">
        <v>347</v>
      </c>
      <c r="E399" s="150" t="s">
        <v>955</v>
      </c>
    </row>
    <row r="400" spans="2:5">
      <c r="B400" s="148">
        <v>492</v>
      </c>
      <c r="D400" s="150" t="s">
        <v>348</v>
      </c>
      <c r="E400" s="150" t="s">
        <v>348</v>
      </c>
    </row>
    <row r="401" spans="2:5">
      <c r="B401" s="148">
        <v>493</v>
      </c>
      <c r="D401" s="150" t="s">
        <v>490</v>
      </c>
    </row>
    <row r="402" spans="2:5">
      <c r="B402" s="148">
        <v>494</v>
      </c>
      <c r="D402" s="150" t="s">
        <v>349</v>
      </c>
      <c r="E402" s="150" t="s">
        <v>956</v>
      </c>
    </row>
    <row r="403" spans="2:5">
      <c r="B403" s="148">
        <v>495</v>
      </c>
      <c r="D403" s="150" t="s">
        <v>491</v>
      </c>
      <c r="E403" s="150" t="s">
        <v>957</v>
      </c>
    </row>
    <row r="404" spans="2:5">
      <c r="B404" s="148">
        <v>496</v>
      </c>
      <c r="D404" s="150" t="s">
        <v>492</v>
      </c>
      <c r="E404" s="150" t="s">
        <v>958</v>
      </c>
    </row>
    <row r="405" spans="2:5">
      <c r="B405" s="148">
        <v>497</v>
      </c>
      <c r="D405" s="150" t="s">
        <v>493</v>
      </c>
      <c r="E405" s="150" t="s">
        <v>957</v>
      </c>
    </row>
    <row r="406" spans="2:5">
      <c r="B406" s="148">
        <v>498</v>
      </c>
      <c r="D406" s="150" t="s">
        <v>350</v>
      </c>
      <c r="E406" s="150" t="s">
        <v>541</v>
      </c>
    </row>
    <row r="407" spans="2:5">
      <c r="B407" s="148">
        <v>499</v>
      </c>
      <c r="D407" s="150" t="s">
        <v>351</v>
      </c>
      <c r="E407" s="150" t="s">
        <v>959</v>
      </c>
    </row>
    <row r="408" spans="2:5">
      <c r="B408" s="148">
        <v>500</v>
      </c>
      <c r="D408" s="150" t="s">
        <v>352</v>
      </c>
      <c r="E408" s="150" t="s">
        <v>960</v>
      </c>
    </row>
    <row r="409" spans="2:5">
      <c r="B409" s="148">
        <v>501</v>
      </c>
      <c r="D409" s="150" t="s">
        <v>353</v>
      </c>
      <c r="E409" s="150" t="s">
        <v>961</v>
      </c>
    </row>
    <row r="410" spans="2:5">
      <c r="B410" s="148">
        <v>502</v>
      </c>
      <c r="D410" s="150" t="s">
        <v>354</v>
      </c>
    </row>
    <row r="411" spans="2:5">
      <c r="B411" s="148">
        <v>503</v>
      </c>
      <c r="D411" s="150" t="s">
        <v>355</v>
      </c>
    </row>
    <row r="412" spans="2:5">
      <c r="B412" s="148">
        <v>504</v>
      </c>
      <c r="D412" s="150" t="s">
        <v>356</v>
      </c>
      <c r="E412" s="150" t="s">
        <v>962</v>
      </c>
    </row>
    <row r="413" spans="2:5">
      <c r="B413" s="148">
        <v>505</v>
      </c>
      <c r="D413" s="150" t="s">
        <v>494</v>
      </c>
      <c r="E413" s="150" t="s">
        <v>963</v>
      </c>
    </row>
    <row r="414" spans="2:5">
      <c r="B414" s="148">
        <v>506</v>
      </c>
      <c r="D414" s="150" t="s">
        <v>357</v>
      </c>
      <c r="E414" s="150" t="s">
        <v>964</v>
      </c>
    </row>
    <row r="415" spans="2:5">
      <c r="B415" s="148">
        <v>507</v>
      </c>
      <c r="D415" s="150" t="s">
        <v>420</v>
      </c>
      <c r="E415" s="150" t="s">
        <v>965</v>
      </c>
    </row>
    <row r="416" spans="2:5">
      <c r="B416" s="148">
        <v>508</v>
      </c>
      <c r="D416" s="150" t="s">
        <v>358</v>
      </c>
      <c r="E416" s="150" t="s">
        <v>964</v>
      </c>
    </row>
    <row r="417" spans="1:6" ht="26.4">
      <c r="A417" s="151"/>
      <c r="B417" s="148">
        <v>509</v>
      </c>
      <c r="C417" s="151"/>
      <c r="D417" s="151" t="s">
        <v>535</v>
      </c>
      <c r="E417" s="151" t="s">
        <v>966</v>
      </c>
      <c r="F417" s="154"/>
    </row>
    <row r="418" spans="1:6">
      <c r="B418" s="148">
        <v>510</v>
      </c>
      <c r="D418" s="150" t="s">
        <v>359</v>
      </c>
      <c r="E418" s="150" t="s">
        <v>359</v>
      </c>
    </row>
    <row r="419" spans="1:6">
      <c r="B419" s="148">
        <v>511</v>
      </c>
      <c r="D419" s="150" t="s">
        <v>360</v>
      </c>
      <c r="E419" s="150" t="s">
        <v>967</v>
      </c>
    </row>
    <row r="420" spans="1:6">
      <c r="B420" s="148">
        <v>512</v>
      </c>
      <c r="D420" s="150" t="s">
        <v>361</v>
      </c>
      <c r="E420" s="150" t="s">
        <v>968</v>
      </c>
    </row>
    <row r="421" spans="1:6">
      <c r="B421" s="148">
        <v>513</v>
      </c>
      <c r="D421" s="150" t="s">
        <v>495</v>
      </c>
      <c r="E421" s="150" t="s">
        <v>969</v>
      </c>
    </row>
    <row r="422" spans="1:6">
      <c r="B422" s="148">
        <v>514</v>
      </c>
      <c r="D422" s="150" t="s">
        <v>362</v>
      </c>
      <c r="E422" s="150" t="s">
        <v>970</v>
      </c>
    </row>
    <row r="423" spans="1:6">
      <c r="B423" s="148">
        <v>515</v>
      </c>
      <c r="D423" s="150" t="s">
        <v>363</v>
      </c>
      <c r="E423" s="150" t="s">
        <v>971</v>
      </c>
    </row>
    <row r="424" spans="1:6">
      <c r="B424" s="148">
        <v>516</v>
      </c>
      <c r="D424" s="150" t="s">
        <v>364</v>
      </c>
      <c r="E424" s="150" t="s">
        <v>972</v>
      </c>
    </row>
    <row r="425" spans="1:6">
      <c r="B425" s="148">
        <v>517</v>
      </c>
      <c r="D425" s="150" t="s">
        <v>496</v>
      </c>
      <c r="E425" s="150" t="s">
        <v>973</v>
      </c>
    </row>
    <row r="426" spans="1:6" ht="26.4">
      <c r="B426" s="148">
        <v>518</v>
      </c>
      <c r="D426" s="150" t="s">
        <v>365</v>
      </c>
      <c r="E426" s="150" t="s">
        <v>974</v>
      </c>
    </row>
    <row r="427" spans="1:6">
      <c r="B427" s="148">
        <v>519</v>
      </c>
      <c r="D427" s="150" t="s">
        <v>366</v>
      </c>
      <c r="E427" s="150" t="s">
        <v>972</v>
      </c>
    </row>
    <row r="428" spans="1:6">
      <c r="B428" s="148">
        <v>520</v>
      </c>
      <c r="D428" s="150" t="s">
        <v>367</v>
      </c>
      <c r="E428" s="150" t="s">
        <v>975</v>
      </c>
    </row>
    <row r="429" spans="1:6">
      <c r="B429" s="148">
        <v>521</v>
      </c>
      <c r="D429" s="150" t="s">
        <v>368</v>
      </c>
      <c r="E429" s="150" t="s">
        <v>976</v>
      </c>
    </row>
    <row r="430" spans="1:6">
      <c r="B430" s="148">
        <v>522</v>
      </c>
      <c r="D430" s="150" t="s">
        <v>369</v>
      </c>
      <c r="E430" s="150" t="s">
        <v>977</v>
      </c>
    </row>
    <row r="431" spans="1:6" s="151" customFormat="1">
      <c r="A431" s="147"/>
      <c r="B431" s="148">
        <v>523</v>
      </c>
      <c r="C431" s="149"/>
      <c r="D431" s="150" t="s">
        <v>370</v>
      </c>
      <c r="E431" s="150" t="s">
        <v>978</v>
      </c>
      <c r="F431" s="147"/>
    </row>
    <row r="432" spans="1:6" s="151" customFormat="1">
      <c r="A432" s="147"/>
      <c r="B432" s="148">
        <v>524</v>
      </c>
      <c r="C432" s="149"/>
      <c r="D432" s="150" t="s">
        <v>371</v>
      </c>
      <c r="E432" s="150" t="s">
        <v>979</v>
      </c>
      <c r="F432" s="147"/>
    </row>
    <row r="433" spans="1:6" s="152" customFormat="1">
      <c r="A433" s="147"/>
      <c r="B433" s="148">
        <v>525</v>
      </c>
      <c r="C433" s="149"/>
      <c r="D433" s="150" t="s">
        <v>372</v>
      </c>
      <c r="E433" s="150" t="s">
        <v>971</v>
      </c>
      <c r="F433" s="147"/>
    </row>
    <row r="434" spans="1:6" s="152" customFormat="1" ht="26.4">
      <c r="A434" s="147"/>
      <c r="B434" s="148">
        <v>526</v>
      </c>
      <c r="C434" s="149"/>
      <c r="D434" s="150" t="s">
        <v>373</v>
      </c>
      <c r="E434" s="150" t="s">
        <v>980</v>
      </c>
      <c r="F434" s="147"/>
    </row>
    <row r="435" spans="1:6" s="152" customFormat="1" ht="26.4">
      <c r="A435" s="147"/>
      <c r="B435" s="148">
        <v>527</v>
      </c>
      <c r="C435" s="149"/>
      <c r="D435" s="150" t="s">
        <v>374</v>
      </c>
      <c r="E435" s="150" t="s">
        <v>981</v>
      </c>
      <c r="F435" s="147"/>
    </row>
    <row r="436" spans="1:6" s="152" customFormat="1">
      <c r="A436" s="147"/>
      <c r="B436" s="148">
        <v>528</v>
      </c>
      <c r="C436" s="149"/>
      <c r="D436" s="150" t="s">
        <v>375</v>
      </c>
      <c r="E436" s="150" t="s">
        <v>982</v>
      </c>
      <c r="F436" s="147"/>
    </row>
    <row r="437" spans="1:6" s="152" customFormat="1" ht="26.4">
      <c r="A437" s="147"/>
      <c r="B437" s="148">
        <v>529</v>
      </c>
      <c r="C437" s="149"/>
      <c r="D437" s="150" t="s">
        <v>376</v>
      </c>
      <c r="E437" s="150" t="s">
        <v>983</v>
      </c>
      <c r="F437" s="147"/>
    </row>
    <row r="438" spans="1:6" s="152" customFormat="1">
      <c r="A438" s="147"/>
      <c r="B438" s="148">
        <v>530</v>
      </c>
      <c r="C438" s="149"/>
      <c r="D438" s="150" t="s">
        <v>377</v>
      </c>
      <c r="E438" s="150" t="s">
        <v>984</v>
      </c>
      <c r="F438" s="147"/>
    </row>
    <row r="439" spans="1:6" s="152" customFormat="1">
      <c r="A439" s="147"/>
      <c r="B439" s="148">
        <v>531</v>
      </c>
      <c r="C439" s="149"/>
      <c r="D439" s="150" t="s">
        <v>378</v>
      </c>
      <c r="E439" s="150" t="s">
        <v>985</v>
      </c>
      <c r="F439" s="147"/>
    </row>
    <row r="440" spans="1:6" s="152" customFormat="1">
      <c r="A440" s="147"/>
      <c r="B440" s="148">
        <v>532</v>
      </c>
      <c r="C440" s="149"/>
      <c r="D440" s="150" t="s">
        <v>379</v>
      </c>
      <c r="E440" s="150" t="s">
        <v>986</v>
      </c>
      <c r="F440" s="147"/>
    </row>
    <row r="441" spans="1:6" s="152" customFormat="1">
      <c r="A441" s="147"/>
      <c r="B441" s="148">
        <v>533</v>
      </c>
      <c r="C441" s="149"/>
      <c r="D441" s="150" t="s">
        <v>380</v>
      </c>
      <c r="E441" s="150" t="s">
        <v>987</v>
      </c>
      <c r="F441" s="147"/>
    </row>
    <row r="442" spans="1:6" s="152" customFormat="1">
      <c r="A442" s="147"/>
      <c r="B442" s="148">
        <v>534</v>
      </c>
      <c r="C442" s="149"/>
      <c r="D442" s="150" t="s">
        <v>381</v>
      </c>
      <c r="E442" s="150" t="s">
        <v>988</v>
      </c>
      <c r="F442" s="147"/>
    </row>
    <row r="443" spans="1:6" s="152" customFormat="1">
      <c r="A443" s="147"/>
      <c r="B443" s="148">
        <v>535</v>
      </c>
      <c r="C443" s="149"/>
      <c r="D443" s="150" t="s">
        <v>382</v>
      </c>
      <c r="E443" s="150" t="s">
        <v>989</v>
      </c>
      <c r="F443" s="147"/>
    </row>
    <row r="444" spans="1:6">
      <c r="B444" s="148">
        <v>536</v>
      </c>
      <c r="D444" s="150" t="s">
        <v>537</v>
      </c>
      <c r="E444" s="150" t="s">
        <v>990</v>
      </c>
    </row>
    <row r="445" spans="1:6">
      <c r="B445" s="148">
        <v>537</v>
      </c>
      <c r="D445" s="150" t="s">
        <v>1050</v>
      </c>
      <c r="E445" s="150" t="s">
        <v>1051</v>
      </c>
    </row>
    <row r="446" spans="1:6">
      <c r="B446" s="148">
        <v>538</v>
      </c>
      <c r="D446" s="150" t="s">
        <v>570</v>
      </c>
      <c r="E446" s="150" t="s">
        <v>991</v>
      </c>
    </row>
    <row r="447" spans="1:6">
      <c r="B447" s="148">
        <v>539</v>
      </c>
      <c r="D447" s="150" t="s">
        <v>566</v>
      </c>
      <c r="E447" s="150" t="s">
        <v>568</v>
      </c>
    </row>
    <row r="448" spans="1:6">
      <c r="B448" s="148">
        <v>540</v>
      </c>
      <c r="D448" s="150" t="s">
        <v>567</v>
      </c>
      <c r="E448" s="150" t="s">
        <v>992</v>
      </c>
    </row>
    <row r="449" spans="2:5">
      <c r="B449" s="148">
        <v>541</v>
      </c>
      <c r="D449" s="150" t="s">
        <v>565</v>
      </c>
      <c r="E449" s="150" t="s">
        <v>569</v>
      </c>
    </row>
    <row r="450" spans="2:5">
      <c r="B450" s="148">
        <v>542</v>
      </c>
      <c r="C450" s="149" t="s">
        <v>620</v>
      </c>
      <c r="D450" s="150" t="s">
        <v>613</v>
      </c>
      <c r="E450" s="159" t="s">
        <v>604</v>
      </c>
    </row>
    <row r="451" spans="2:5">
      <c r="B451" s="148">
        <v>543</v>
      </c>
      <c r="C451" s="149" t="s">
        <v>620</v>
      </c>
      <c r="D451" s="150" t="s">
        <v>614</v>
      </c>
      <c r="E451" s="159" t="s">
        <v>605</v>
      </c>
    </row>
    <row r="452" spans="2:5">
      <c r="B452" s="148">
        <v>544</v>
      </c>
      <c r="C452" s="149" t="s">
        <v>620</v>
      </c>
      <c r="D452" s="147" t="s">
        <v>615</v>
      </c>
      <c r="E452" s="159" t="s">
        <v>606</v>
      </c>
    </row>
    <row r="453" spans="2:5">
      <c r="B453" s="148">
        <v>545</v>
      </c>
      <c r="C453" s="149" t="s">
        <v>620</v>
      </c>
      <c r="D453" s="147" t="s">
        <v>616</v>
      </c>
      <c r="E453" s="159" t="s">
        <v>607</v>
      </c>
    </row>
    <row r="454" spans="2:5">
      <c r="B454" s="148">
        <v>546</v>
      </c>
      <c r="C454" s="149" t="s">
        <v>620</v>
      </c>
      <c r="D454" s="147" t="s">
        <v>431</v>
      </c>
      <c r="E454" s="159" t="s">
        <v>608</v>
      </c>
    </row>
    <row r="455" spans="2:5">
      <c r="B455" s="148">
        <v>547</v>
      </c>
      <c r="C455" s="149" t="s">
        <v>620</v>
      </c>
      <c r="D455" s="147" t="s">
        <v>430</v>
      </c>
      <c r="E455" s="159" t="s">
        <v>609</v>
      </c>
    </row>
    <row r="456" spans="2:5">
      <c r="B456" s="148">
        <v>548</v>
      </c>
      <c r="C456" s="149" t="s">
        <v>620</v>
      </c>
      <c r="D456" s="147" t="s">
        <v>617</v>
      </c>
      <c r="E456" s="159" t="s">
        <v>610</v>
      </c>
    </row>
    <row r="457" spans="2:5">
      <c r="B457" s="148">
        <v>549</v>
      </c>
      <c r="C457" s="149" t="s">
        <v>620</v>
      </c>
      <c r="D457" s="147" t="s">
        <v>618</v>
      </c>
      <c r="E457" s="159" t="s">
        <v>611</v>
      </c>
    </row>
    <row r="458" spans="2:5">
      <c r="B458" s="148">
        <v>550</v>
      </c>
      <c r="C458" s="149" t="s">
        <v>620</v>
      </c>
      <c r="D458" s="147" t="s">
        <v>619</v>
      </c>
      <c r="E458" s="159" t="s">
        <v>993</v>
      </c>
    </row>
    <row r="459" spans="2:5">
      <c r="B459" s="148">
        <v>551</v>
      </c>
      <c r="C459" s="149" t="s">
        <v>620</v>
      </c>
      <c r="D459" s="147" t="s">
        <v>994</v>
      </c>
      <c r="E459" s="159" t="s">
        <v>995</v>
      </c>
    </row>
    <row r="460" spans="2:5">
      <c r="B460" s="148">
        <v>552</v>
      </c>
      <c r="C460" s="149" t="s">
        <v>620</v>
      </c>
      <c r="D460" s="147" t="s">
        <v>1024</v>
      </c>
      <c r="E460" s="159" t="s">
        <v>1025</v>
      </c>
    </row>
    <row r="461" spans="2:5">
      <c r="B461" s="148">
        <v>553</v>
      </c>
      <c r="C461" s="149" t="s">
        <v>620</v>
      </c>
      <c r="D461" s="147" t="s">
        <v>996</v>
      </c>
      <c r="E461" s="159" t="s">
        <v>997</v>
      </c>
    </row>
    <row r="462" spans="2:5">
      <c r="B462" s="148">
        <v>554</v>
      </c>
      <c r="C462" s="149" t="s">
        <v>620</v>
      </c>
      <c r="D462" s="147" t="s">
        <v>1022</v>
      </c>
      <c r="E462" s="159" t="s">
        <v>1023</v>
      </c>
    </row>
    <row r="463" spans="2:5">
      <c r="B463" s="148">
        <v>555</v>
      </c>
      <c r="C463" s="149" t="s">
        <v>620</v>
      </c>
      <c r="D463" s="147" t="s">
        <v>998</v>
      </c>
      <c r="E463" s="159" t="s">
        <v>999</v>
      </c>
    </row>
    <row r="464" spans="2:5">
      <c r="B464" s="148">
        <v>556</v>
      </c>
      <c r="C464" s="149" t="s">
        <v>620</v>
      </c>
      <c r="D464" s="150" t="s">
        <v>1000</v>
      </c>
      <c r="E464" s="150" t="s">
        <v>1001</v>
      </c>
    </row>
    <row r="465" spans="2:5">
      <c r="B465" s="148">
        <v>557</v>
      </c>
      <c r="C465" s="149" t="s">
        <v>620</v>
      </c>
      <c r="D465" s="150" t="s">
        <v>1020</v>
      </c>
      <c r="E465" s="150" t="s">
        <v>1021</v>
      </c>
    </row>
    <row r="466" spans="2:5">
      <c r="B466" s="148">
        <v>558</v>
      </c>
      <c r="C466" s="149" t="s">
        <v>620</v>
      </c>
      <c r="D466" s="150" t="s">
        <v>1004</v>
      </c>
      <c r="E466" s="150" t="s">
        <v>1006</v>
      </c>
    </row>
    <row r="467" spans="2:5">
      <c r="B467" s="148">
        <v>559</v>
      </c>
      <c r="C467" s="149" t="s">
        <v>620</v>
      </c>
      <c r="D467" s="150" t="s">
        <v>1005</v>
      </c>
      <c r="E467" s="150" t="s">
        <v>1007</v>
      </c>
    </row>
    <row r="468" spans="2:5">
      <c r="B468" s="148">
        <v>560</v>
      </c>
      <c r="D468" s="150" t="s">
        <v>1008</v>
      </c>
      <c r="E468" s="150" t="s">
        <v>1009</v>
      </c>
    </row>
    <row r="469" spans="2:5">
      <c r="B469" s="148">
        <v>561</v>
      </c>
      <c r="C469" s="149" t="s">
        <v>620</v>
      </c>
      <c r="D469" s="150" t="s">
        <v>1016</v>
      </c>
      <c r="E469" s="150" t="s">
        <v>1056</v>
      </c>
    </row>
    <row r="470" spans="2:5">
      <c r="B470" s="148">
        <v>562</v>
      </c>
      <c r="C470" s="149" t="s">
        <v>620</v>
      </c>
      <c r="D470" s="150" t="s">
        <v>1018</v>
      </c>
      <c r="E470" s="150" t="s">
        <v>1019</v>
      </c>
    </row>
    <row r="471" spans="2:5">
      <c r="B471" s="148">
        <v>563</v>
      </c>
      <c r="C471" s="149" t="s">
        <v>1036</v>
      </c>
      <c r="D471" s="150" t="s">
        <v>1032</v>
      </c>
      <c r="E471" s="150" t="s">
        <v>1028</v>
      </c>
    </row>
    <row r="472" spans="2:5">
      <c r="B472" s="148">
        <v>564</v>
      </c>
      <c r="C472" s="149" t="s">
        <v>1036</v>
      </c>
      <c r="D472" s="150" t="s">
        <v>1031</v>
      </c>
      <c r="E472" s="150" t="s">
        <v>1029</v>
      </c>
    </row>
    <row r="473" spans="2:5">
      <c r="B473" s="148">
        <v>565</v>
      </c>
      <c r="C473" s="149" t="s">
        <v>1036</v>
      </c>
      <c r="D473" s="150" t="s">
        <v>1040</v>
      </c>
      <c r="E473" s="150" t="s">
        <v>1041</v>
      </c>
    </row>
    <row r="474" spans="2:5">
      <c r="B474" s="148">
        <v>566</v>
      </c>
      <c r="C474" s="149" t="s">
        <v>1036</v>
      </c>
      <c r="D474" s="150" t="s">
        <v>1033</v>
      </c>
      <c r="E474" s="150" t="s">
        <v>1034</v>
      </c>
    </row>
    <row r="475" spans="2:5" ht="26.4">
      <c r="B475" s="148">
        <v>567</v>
      </c>
      <c r="C475" s="149" t="s">
        <v>1036</v>
      </c>
      <c r="D475" s="150" t="s">
        <v>1030</v>
      </c>
      <c r="E475" s="150" t="s">
        <v>1035</v>
      </c>
    </row>
    <row r="476" spans="2:5">
      <c r="B476" s="148">
        <v>568</v>
      </c>
      <c r="C476" s="149" t="s">
        <v>1036</v>
      </c>
      <c r="D476" s="150" t="s">
        <v>1037</v>
      </c>
      <c r="E476" s="150" t="s">
        <v>1038</v>
      </c>
    </row>
    <row r="477" spans="2:5">
      <c r="B477" s="148">
        <v>569</v>
      </c>
      <c r="D477" s="150" t="s">
        <v>1109</v>
      </c>
      <c r="E477" s="150" t="s">
        <v>1071</v>
      </c>
    </row>
    <row r="478" spans="2:5">
      <c r="B478" s="148">
        <v>570</v>
      </c>
      <c r="D478" s="150" t="s">
        <v>1110</v>
      </c>
      <c r="E478" s="150" t="s">
        <v>1087</v>
      </c>
    </row>
    <row r="479" spans="2:5">
      <c r="B479" s="148">
        <v>571</v>
      </c>
      <c r="D479" s="150" t="s">
        <v>1111</v>
      </c>
      <c r="E479" s="150" t="s">
        <v>1072</v>
      </c>
    </row>
    <row r="480" spans="2:5">
      <c r="B480" s="148">
        <v>572</v>
      </c>
      <c r="D480" s="150" t="s">
        <v>1088</v>
      </c>
      <c r="E480" s="150" t="s">
        <v>1089</v>
      </c>
    </row>
    <row r="481" spans="2:5">
      <c r="B481" s="148">
        <v>573</v>
      </c>
      <c r="D481" s="150" t="s">
        <v>1095</v>
      </c>
      <c r="E481" s="150" t="s">
        <v>1090</v>
      </c>
    </row>
    <row r="482" spans="2:5">
      <c r="B482" s="148">
        <v>574</v>
      </c>
      <c r="D482" s="150" t="s">
        <v>1091</v>
      </c>
      <c r="E482" s="150" t="s">
        <v>1092</v>
      </c>
    </row>
    <row r="483" spans="2:5">
      <c r="B483" s="148">
        <v>575</v>
      </c>
      <c r="D483" s="150" t="s">
        <v>1093</v>
      </c>
      <c r="E483" s="150" t="s">
        <v>1094</v>
      </c>
    </row>
    <row r="484" spans="2:5">
      <c r="B484" s="148">
        <v>576</v>
      </c>
      <c r="D484" s="150" t="s">
        <v>1091</v>
      </c>
      <c r="E484" s="150" t="s">
        <v>1092</v>
      </c>
    </row>
    <row r="485" spans="2:5">
      <c r="B485" s="148">
        <v>577</v>
      </c>
      <c r="D485" s="150" t="s">
        <v>1096</v>
      </c>
      <c r="E485" s="150" t="s">
        <v>1097</v>
      </c>
    </row>
    <row r="486" spans="2:5">
      <c r="B486" s="148">
        <v>578</v>
      </c>
      <c r="D486" s="150" t="s">
        <v>1098</v>
      </c>
      <c r="E486" s="150" t="s">
        <v>1099</v>
      </c>
    </row>
    <row r="487" spans="2:5">
      <c r="B487" s="148">
        <v>579</v>
      </c>
      <c r="D487" s="150" t="s">
        <v>1170</v>
      </c>
      <c r="E487" s="150" t="s">
        <v>1171</v>
      </c>
    </row>
    <row r="488" spans="2:5">
      <c r="B488" s="148">
        <v>580</v>
      </c>
      <c r="D488" s="150" t="s">
        <v>1172</v>
      </c>
      <c r="E488" s="150" t="s">
        <v>1172</v>
      </c>
    </row>
    <row r="489" spans="2:5">
      <c r="B489" s="148">
        <v>581</v>
      </c>
      <c r="D489" s="150" t="s">
        <v>1173</v>
      </c>
      <c r="E489" s="150" t="s">
        <v>1174</v>
      </c>
    </row>
    <row r="490" spans="2:5">
      <c r="B490" s="148">
        <v>582</v>
      </c>
      <c r="D490" s="150" t="s">
        <v>1175</v>
      </c>
      <c r="E490" s="150" t="s">
        <v>1176</v>
      </c>
    </row>
    <row r="491" spans="2:5">
      <c r="B491" s="148">
        <v>583</v>
      </c>
      <c r="D491" s="150" t="s">
        <v>1273</v>
      </c>
      <c r="E491" s="150" t="s">
        <v>1274</v>
      </c>
    </row>
  </sheetData>
  <sortState xmlns:xlrd2="http://schemas.microsoft.com/office/spreadsheetml/2017/richdata2" ref="A9:F442">
    <sortCondition ref="E9:E442"/>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00"/>
  <sheetViews>
    <sheetView topLeftCell="A7" zoomScale="81" zoomScaleNormal="81" workbookViewId="0">
      <selection activeCell="L21" sqref="L21"/>
    </sheetView>
  </sheetViews>
  <sheetFormatPr defaultColWidth="9.59765625" defaultRowHeight="13.8"/>
  <cols>
    <col min="1" max="1" width="9.8984375" style="84" bestFit="1" customWidth="1"/>
    <col min="2" max="2" width="10.59765625" style="84" bestFit="1" customWidth="1"/>
    <col min="3" max="12" width="12.09765625" style="84" bestFit="1" customWidth="1"/>
    <col min="13" max="13" width="32.59765625" style="84" bestFit="1" customWidth="1"/>
    <col min="14" max="14" width="14.09765625" style="84" bestFit="1" customWidth="1"/>
    <col min="15" max="16" width="11.8984375" style="84" bestFit="1" customWidth="1"/>
    <col min="17" max="17" width="15.3984375" style="84" bestFit="1" customWidth="1"/>
    <col min="18" max="18" width="17" style="85" bestFit="1" customWidth="1"/>
    <col min="19" max="19" width="13.5" style="164" bestFit="1" customWidth="1"/>
    <col min="20" max="20" width="13.69921875" style="164" bestFit="1" customWidth="1"/>
    <col min="21" max="21" width="13.8984375" style="85" bestFit="1" customWidth="1"/>
    <col min="22" max="22" width="15.69921875" style="83" bestFit="1" customWidth="1"/>
    <col min="23" max="23" width="9.5" style="169" bestFit="1" customWidth="1"/>
    <col min="24" max="24" width="10.8984375" style="169" bestFit="1" customWidth="1"/>
    <col min="25" max="25" width="10.69921875" style="83" bestFit="1" customWidth="1"/>
    <col min="26" max="26" width="12.3984375" style="83" bestFit="1" customWidth="1"/>
    <col min="27" max="27" width="12.69921875" style="83" bestFit="1" customWidth="1"/>
    <col min="28" max="28" width="15.3984375" style="83" bestFit="1" customWidth="1"/>
    <col min="29" max="29" width="9.59765625" style="83"/>
    <col min="30" max="30" width="9.59765625" style="86"/>
    <col min="31" max="32" width="9.59765625" style="164"/>
    <col min="33" max="16384" width="9.59765625" style="83"/>
  </cols>
  <sheetData>
    <row r="1" spans="1:28">
      <c r="A1" s="81" t="s">
        <v>1169</v>
      </c>
      <c r="B1" s="81" t="s">
        <v>384</v>
      </c>
      <c r="C1" s="81" t="s">
        <v>1157</v>
      </c>
      <c r="D1" s="81" t="s">
        <v>1158</v>
      </c>
      <c r="E1" s="81" t="s">
        <v>1159</v>
      </c>
      <c r="F1" s="81" t="s">
        <v>1160</v>
      </c>
      <c r="G1" s="81" t="s">
        <v>1161</v>
      </c>
      <c r="H1" s="81" t="s">
        <v>1162</v>
      </c>
      <c r="I1" s="81" t="s">
        <v>1163</v>
      </c>
      <c r="J1" s="81" t="s">
        <v>1164</v>
      </c>
      <c r="K1" s="81" t="s">
        <v>1165</v>
      </c>
      <c r="L1" s="81" t="s">
        <v>1166</v>
      </c>
      <c r="M1" s="81" t="s">
        <v>385</v>
      </c>
      <c r="N1" s="81" t="s">
        <v>386</v>
      </c>
      <c r="O1" s="81" t="s">
        <v>387</v>
      </c>
      <c r="P1" s="81" t="s">
        <v>388</v>
      </c>
      <c r="Q1" s="81" t="s">
        <v>1079</v>
      </c>
      <c r="R1" s="81" t="s">
        <v>1080</v>
      </c>
      <c r="S1" s="81" t="s">
        <v>1168</v>
      </c>
      <c r="T1" s="81" t="s">
        <v>1057</v>
      </c>
      <c r="U1" s="81" t="s">
        <v>1058</v>
      </c>
      <c r="V1" s="82" t="s">
        <v>1060</v>
      </c>
      <c r="W1" s="168" t="s">
        <v>1061</v>
      </c>
      <c r="X1" s="168" t="s">
        <v>1062</v>
      </c>
      <c r="Y1" s="82" t="s">
        <v>1081</v>
      </c>
      <c r="Z1" s="82" t="s">
        <v>1082</v>
      </c>
      <c r="AA1" s="82" t="s">
        <v>1116</v>
      </c>
      <c r="AB1" s="82" t="s">
        <v>1059</v>
      </c>
    </row>
    <row r="2" spans="1:28">
      <c r="A2" s="162" t="s">
        <v>1184</v>
      </c>
      <c r="B2" s="162" t="s">
        <v>1178</v>
      </c>
      <c r="C2" s="162" t="s">
        <v>1064</v>
      </c>
      <c r="D2" s="162" t="s">
        <v>1177</v>
      </c>
      <c r="E2" s="162" t="s">
        <v>1178</v>
      </c>
      <c r="M2" s="162" t="s">
        <v>1304</v>
      </c>
      <c r="N2" s="162" t="s">
        <v>1278</v>
      </c>
      <c r="O2" s="166">
        <v>43696</v>
      </c>
      <c r="P2" s="166">
        <v>43697</v>
      </c>
      <c r="Q2" s="166">
        <v>43696</v>
      </c>
      <c r="R2" s="167">
        <v>43701</v>
      </c>
      <c r="S2" s="164">
        <v>34</v>
      </c>
      <c r="T2" s="164">
        <v>1</v>
      </c>
      <c r="U2" s="85">
        <v>1</v>
      </c>
      <c r="V2" s="83">
        <v>1</v>
      </c>
      <c r="W2" s="169">
        <v>1</v>
      </c>
      <c r="X2" s="169">
        <v>1</v>
      </c>
      <c r="AA2" s="83">
        <v>1</v>
      </c>
    </row>
    <row r="3" spans="1:28">
      <c r="A3" s="162" t="s">
        <v>1184</v>
      </c>
      <c r="B3" s="162" t="s">
        <v>1178</v>
      </c>
      <c r="C3" s="162" t="s">
        <v>1064</v>
      </c>
      <c r="D3" s="162" t="s">
        <v>1177</v>
      </c>
      <c r="E3" s="162" t="s">
        <v>1178</v>
      </c>
      <c r="M3" s="162" t="s">
        <v>1304</v>
      </c>
      <c r="N3" s="162" t="s">
        <v>1281</v>
      </c>
      <c r="O3" s="166">
        <v>43696</v>
      </c>
      <c r="P3" s="166">
        <v>43697</v>
      </c>
      <c r="Q3" s="166">
        <v>43696</v>
      </c>
      <c r="R3" s="167">
        <v>43701</v>
      </c>
      <c r="S3" s="164">
        <v>34</v>
      </c>
      <c r="T3" s="164">
        <v>1</v>
      </c>
      <c r="U3" s="85">
        <v>1</v>
      </c>
      <c r="V3" s="83">
        <v>1</v>
      </c>
      <c r="W3" s="169">
        <v>1</v>
      </c>
      <c r="X3" s="169">
        <v>1</v>
      </c>
      <c r="AA3" s="83">
        <v>1</v>
      </c>
    </row>
    <row r="4" spans="1:28">
      <c r="A4" s="162" t="s">
        <v>1185</v>
      </c>
      <c r="B4" s="162" t="s">
        <v>1306</v>
      </c>
      <c r="C4" s="162" t="s">
        <v>1064</v>
      </c>
      <c r="D4" s="162" t="s">
        <v>1177</v>
      </c>
      <c r="E4" s="162" t="s">
        <v>1179</v>
      </c>
      <c r="F4" s="162" t="s">
        <v>1306</v>
      </c>
      <c r="M4" s="162" t="s">
        <v>1307</v>
      </c>
      <c r="N4" s="162" t="s">
        <v>1278</v>
      </c>
      <c r="O4" s="166">
        <v>43700</v>
      </c>
      <c r="P4" s="166">
        <v>43706</v>
      </c>
      <c r="Q4" s="166">
        <v>43696</v>
      </c>
      <c r="R4" s="167">
        <v>43701</v>
      </c>
      <c r="S4" s="164">
        <v>34</v>
      </c>
      <c r="T4" s="164">
        <v>1</v>
      </c>
      <c r="U4" s="85">
        <v>1</v>
      </c>
      <c r="V4" s="83">
        <v>1</v>
      </c>
      <c r="W4" s="169">
        <v>1</v>
      </c>
      <c r="X4" s="169">
        <v>1</v>
      </c>
      <c r="AA4" s="83">
        <v>1</v>
      </c>
    </row>
    <row r="5" spans="1:28">
      <c r="A5" s="162" t="s">
        <v>1185</v>
      </c>
      <c r="B5" s="162" t="s">
        <v>1306</v>
      </c>
      <c r="C5" s="162" t="s">
        <v>1064</v>
      </c>
      <c r="D5" s="162" t="s">
        <v>1177</v>
      </c>
      <c r="E5" s="162" t="s">
        <v>1179</v>
      </c>
      <c r="F5" s="162" t="s">
        <v>1306</v>
      </c>
      <c r="M5" s="162" t="s">
        <v>1307</v>
      </c>
      <c r="N5" s="162" t="s">
        <v>1278</v>
      </c>
      <c r="O5" s="166">
        <v>43700</v>
      </c>
      <c r="P5" s="166">
        <v>43706</v>
      </c>
      <c r="Q5" s="166">
        <v>43702</v>
      </c>
      <c r="R5" s="167">
        <v>43708</v>
      </c>
      <c r="S5" s="164">
        <v>35</v>
      </c>
      <c r="T5" s="164">
        <v>4</v>
      </c>
      <c r="U5" s="85">
        <v>4</v>
      </c>
      <c r="V5" s="83">
        <v>1</v>
      </c>
      <c r="W5" s="169">
        <v>1</v>
      </c>
      <c r="X5" s="169">
        <v>1</v>
      </c>
      <c r="AA5" s="83">
        <v>4</v>
      </c>
    </row>
    <row r="6" spans="1:28">
      <c r="A6" s="162" t="s">
        <v>1185</v>
      </c>
      <c r="B6" s="162" t="s">
        <v>1308</v>
      </c>
      <c r="C6" s="162" t="s">
        <v>1064</v>
      </c>
      <c r="D6" s="162" t="s">
        <v>1177</v>
      </c>
      <c r="E6" s="162" t="s">
        <v>1179</v>
      </c>
      <c r="F6" s="162" t="s">
        <v>1308</v>
      </c>
      <c r="M6" s="162" t="s">
        <v>1309</v>
      </c>
      <c r="N6" s="162" t="s">
        <v>1278</v>
      </c>
      <c r="O6" s="166">
        <v>43718</v>
      </c>
      <c r="P6" s="166">
        <v>43718</v>
      </c>
      <c r="Q6" s="166">
        <v>43716</v>
      </c>
      <c r="R6" s="167">
        <v>43722</v>
      </c>
      <c r="S6" s="164">
        <v>37</v>
      </c>
      <c r="T6" s="164">
        <v>1</v>
      </c>
      <c r="U6" s="85">
        <v>1</v>
      </c>
      <c r="V6" s="83">
        <v>1</v>
      </c>
      <c r="W6" s="169">
        <v>1</v>
      </c>
      <c r="X6" s="169">
        <v>1</v>
      </c>
      <c r="AA6" s="83">
        <v>1</v>
      </c>
    </row>
    <row r="7" spans="1:28">
      <c r="A7" s="162" t="s">
        <v>1184</v>
      </c>
      <c r="B7" s="162" t="s">
        <v>1181</v>
      </c>
      <c r="C7" s="162" t="s">
        <v>1064</v>
      </c>
      <c r="D7" s="162" t="s">
        <v>1180</v>
      </c>
      <c r="E7" s="162" t="s">
        <v>1181</v>
      </c>
      <c r="M7" s="162" t="s">
        <v>1311</v>
      </c>
      <c r="N7" s="162" t="s">
        <v>1279</v>
      </c>
      <c r="O7" s="166">
        <v>43721</v>
      </c>
      <c r="P7" s="166">
        <v>43725</v>
      </c>
      <c r="Q7" s="166">
        <v>43716</v>
      </c>
      <c r="R7" s="167">
        <v>43722</v>
      </c>
      <c r="S7" s="164">
        <v>37</v>
      </c>
      <c r="T7" s="164">
        <v>0</v>
      </c>
      <c r="U7" s="85">
        <v>0</v>
      </c>
      <c r="V7" s="83">
        <v>1</v>
      </c>
      <c r="W7" s="169">
        <v>1</v>
      </c>
      <c r="X7" s="169">
        <v>1</v>
      </c>
      <c r="AA7" s="83">
        <v>0</v>
      </c>
    </row>
    <row r="8" spans="1:28">
      <c r="A8" s="162" t="s">
        <v>1184</v>
      </c>
      <c r="B8" s="162" t="s">
        <v>1181</v>
      </c>
      <c r="C8" s="162" t="s">
        <v>1064</v>
      </c>
      <c r="D8" s="162" t="s">
        <v>1180</v>
      </c>
      <c r="E8" s="162" t="s">
        <v>1181</v>
      </c>
      <c r="M8" s="162" t="s">
        <v>1311</v>
      </c>
      <c r="N8" s="162" t="s">
        <v>1279</v>
      </c>
      <c r="O8" s="166">
        <v>43721</v>
      </c>
      <c r="P8" s="166">
        <v>43725</v>
      </c>
      <c r="Q8" s="166">
        <v>43723</v>
      </c>
      <c r="R8" s="167">
        <v>43729</v>
      </c>
      <c r="S8" s="164">
        <v>38</v>
      </c>
      <c r="T8" s="164">
        <v>2</v>
      </c>
      <c r="U8" s="85">
        <v>2</v>
      </c>
      <c r="V8" s="83">
        <v>1</v>
      </c>
      <c r="W8" s="169">
        <v>1</v>
      </c>
      <c r="X8" s="169">
        <v>1</v>
      </c>
      <c r="AA8" s="83">
        <v>2</v>
      </c>
    </row>
    <row r="9" spans="1:28">
      <c r="A9" s="162" t="s">
        <v>1184</v>
      </c>
      <c r="B9" s="162" t="s">
        <v>1229</v>
      </c>
      <c r="C9" s="162" t="s">
        <v>1064</v>
      </c>
      <c r="D9" s="162" t="s">
        <v>1180</v>
      </c>
      <c r="E9" s="162" t="s">
        <v>1229</v>
      </c>
      <c r="M9" s="162" t="s">
        <v>1312</v>
      </c>
      <c r="N9" s="162" t="s">
        <v>1279</v>
      </c>
      <c r="O9" s="166">
        <v>43753</v>
      </c>
      <c r="P9" s="166">
        <v>43753</v>
      </c>
      <c r="Q9" s="166">
        <v>43751</v>
      </c>
      <c r="R9" s="167">
        <v>43757</v>
      </c>
      <c r="S9" s="164">
        <v>42</v>
      </c>
      <c r="T9" s="164">
        <v>1</v>
      </c>
      <c r="U9" s="85">
        <v>0</v>
      </c>
      <c r="V9" s="83">
        <v>1</v>
      </c>
      <c r="W9" s="169">
        <v>0</v>
      </c>
      <c r="X9" s="169">
        <v>0</v>
      </c>
      <c r="AA9" s="83">
        <v>0</v>
      </c>
    </row>
    <row r="10" spans="1:28">
      <c r="A10" s="162" t="s">
        <v>1184</v>
      </c>
      <c r="B10" s="162" t="s">
        <v>1313</v>
      </c>
      <c r="C10" s="162" t="s">
        <v>1064</v>
      </c>
      <c r="D10" s="162" t="s">
        <v>1180</v>
      </c>
      <c r="E10" s="162" t="s">
        <v>1313</v>
      </c>
      <c r="M10" s="162" t="s">
        <v>1314</v>
      </c>
      <c r="N10" s="162" t="s">
        <v>584</v>
      </c>
      <c r="O10" s="166">
        <v>43789</v>
      </c>
      <c r="P10" s="166">
        <v>43814</v>
      </c>
      <c r="Q10" s="166">
        <v>43786</v>
      </c>
      <c r="R10" s="167">
        <v>43792</v>
      </c>
      <c r="S10" s="164">
        <v>47</v>
      </c>
      <c r="T10" s="164">
        <v>3</v>
      </c>
      <c r="U10" s="85">
        <v>0</v>
      </c>
      <c r="V10" s="83">
        <v>1</v>
      </c>
      <c r="W10" s="169">
        <v>0</v>
      </c>
      <c r="X10" s="169">
        <v>0</v>
      </c>
      <c r="AA10" s="83">
        <v>0</v>
      </c>
    </row>
    <row r="11" spans="1:28">
      <c r="A11" s="162" t="s">
        <v>1184</v>
      </c>
      <c r="B11" s="162" t="s">
        <v>1313</v>
      </c>
      <c r="C11" s="162" t="s">
        <v>1064</v>
      </c>
      <c r="D11" s="162" t="s">
        <v>1180</v>
      </c>
      <c r="E11" s="162" t="s">
        <v>1313</v>
      </c>
      <c r="M11" s="162" t="s">
        <v>1314</v>
      </c>
      <c r="N11" s="162" t="s">
        <v>584</v>
      </c>
      <c r="O11" s="166">
        <v>43789</v>
      </c>
      <c r="P11" s="166">
        <v>43814</v>
      </c>
      <c r="Q11" s="166">
        <v>43793</v>
      </c>
      <c r="R11" s="167">
        <v>43799</v>
      </c>
      <c r="S11" s="164">
        <v>48</v>
      </c>
      <c r="T11" s="164">
        <v>5</v>
      </c>
      <c r="U11" s="85">
        <v>0</v>
      </c>
      <c r="V11" s="83">
        <v>1</v>
      </c>
      <c r="W11" s="169">
        <v>0</v>
      </c>
      <c r="X11" s="169">
        <v>0</v>
      </c>
      <c r="AA11" s="83">
        <v>0</v>
      </c>
    </row>
    <row r="12" spans="1:28">
      <c r="A12" s="162" t="s">
        <v>1184</v>
      </c>
      <c r="B12" s="162" t="s">
        <v>1313</v>
      </c>
      <c r="C12" s="162" t="s">
        <v>1064</v>
      </c>
      <c r="D12" s="162" t="s">
        <v>1180</v>
      </c>
      <c r="E12" s="162" t="s">
        <v>1313</v>
      </c>
      <c r="M12" s="162" t="s">
        <v>1314</v>
      </c>
      <c r="N12" s="162" t="s">
        <v>584</v>
      </c>
      <c r="O12" s="166">
        <v>43789</v>
      </c>
      <c r="P12" s="166">
        <v>43814</v>
      </c>
      <c r="Q12" s="166">
        <v>43800</v>
      </c>
      <c r="R12" s="167">
        <v>43806</v>
      </c>
      <c r="S12" s="164">
        <v>49</v>
      </c>
      <c r="T12" s="164">
        <v>5</v>
      </c>
      <c r="U12" s="85">
        <v>0</v>
      </c>
      <c r="V12" s="83">
        <v>1</v>
      </c>
      <c r="W12" s="169">
        <v>0</v>
      </c>
      <c r="X12" s="169">
        <v>0</v>
      </c>
      <c r="AA12" s="83">
        <v>0</v>
      </c>
    </row>
    <row r="13" spans="1:28">
      <c r="A13" s="162" t="s">
        <v>1184</v>
      </c>
      <c r="B13" s="162" t="s">
        <v>1313</v>
      </c>
      <c r="C13" s="162" t="s">
        <v>1064</v>
      </c>
      <c r="D13" s="162" t="s">
        <v>1180</v>
      </c>
      <c r="E13" s="162" t="s">
        <v>1313</v>
      </c>
      <c r="M13" s="162" t="s">
        <v>1314</v>
      </c>
      <c r="N13" s="162" t="s">
        <v>584</v>
      </c>
      <c r="O13" s="166">
        <v>43789</v>
      </c>
      <c r="P13" s="166">
        <v>43814</v>
      </c>
      <c r="Q13" s="166">
        <v>43807</v>
      </c>
      <c r="R13" s="167">
        <v>43813</v>
      </c>
      <c r="S13" s="164">
        <v>50</v>
      </c>
      <c r="T13" s="164">
        <v>5</v>
      </c>
      <c r="U13" s="85">
        <v>0</v>
      </c>
      <c r="V13" s="83">
        <v>1</v>
      </c>
      <c r="W13" s="169">
        <v>0</v>
      </c>
      <c r="X13" s="169">
        <v>0</v>
      </c>
      <c r="AA13" s="83">
        <v>0</v>
      </c>
    </row>
    <row r="14" spans="1:28">
      <c r="A14" s="162" t="s">
        <v>1184</v>
      </c>
      <c r="B14" s="162" t="s">
        <v>1313</v>
      </c>
      <c r="C14" s="162" t="s">
        <v>1064</v>
      </c>
      <c r="D14" s="162" t="s">
        <v>1180</v>
      </c>
      <c r="E14" s="162" t="s">
        <v>1313</v>
      </c>
      <c r="M14" s="162" t="s">
        <v>1314</v>
      </c>
      <c r="N14" s="162" t="s">
        <v>584</v>
      </c>
      <c r="O14" s="166">
        <v>43789</v>
      </c>
      <c r="P14" s="166">
        <v>43814</v>
      </c>
      <c r="Q14" s="166">
        <v>43814</v>
      </c>
      <c r="R14" s="167">
        <v>43820</v>
      </c>
      <c r="S14" s="164">
        <v>51</v>
      </c>
      <c r="T14" s="164">
        <v>0</v>
      </c>
      <c r="U14" s="85">
        <v>0</v>
      </c>
      <c r="V14" s="83">
        <v>1</v>
      </c>
      <c r="W14" s="169">
        <v>0</v>
      </c>
      <c r="X14" s="169">
        <v>0</v>
      </c>
      <c r="AA14" s="83">
        <v>0</v>
      </c>
    </row>
    <row r="15" spans="1:28">
      <c r="A15" s="162" t="s">
        <v>1184</v>
      </c>
      <c r="B15" s="162" t="s">
        <v>1315</v>
      </c>
      <c r="C15" s="162" t="s">
        <v>1064</v>
      </c>
      <c r="D15" s="162" t="s">
        <v>1180</v>
      </c>
      <c r="E15" s="162" t="s">
        <v>1315</v>
      </c>
      <c r="M15" s="162" t="s">
        <v>1316</v>
      </c>
      <c r="N15" s="162" t="s">
        <v>584</v>
      </c>
      <c r="O15" s="166">
        <v>43718</v>
      </c>
      <c r="P15" s="166">
        <v>43718</v>
      </c>
      <c r="Q15" s="166">
        <v>43716</v>
      </c>
      <c r="R15" s="167">
        <v>43722</v>
      </c>
      <c r="S15" s="164">
        <v>37</v>
      </c>
      <c r="T15" s="164">
        <v>1</v>
      </c>
      <c r="U15" s="85">
        <v>1</v>
      </c>
      <c r="V15" s="83">
        <v>1</v>
      </c>
      <c r="W15" s="169">
        <v>1</v>
      </c>
      <c r="X15" s="169">
        <v>1</v>
      </c>
      <c r="AA15" s="83">
        <v>0</v>
      </c>
    </row>
    <row r="16" spans="1:28">
      <c r="A16" s="162" t="s">
        <v>1184</v>
      </c>
      <c r="B16" s="162" t="s">
        <v>1315</v>
      </c>
      <c r="C16" s="162" t="s">
        <v>1064</v>
      </c>
      <c r="D16" s="162" t="s">
        <v>1180</v>
      </c>
      <c r="E16" s="162" t="s">
        <v>1315</v>
      </c>
      <c r="M16" s="162" t="s">
        <v>1316</v>
      </c>
      <c r="N16" s="162" t="s">
        <v>584</v>
      </c>
      <c r="O16" s="166">
        <v>43718</v>
      </c>
      <c r="P16" s="166">
        <v>43718</v>
      </c>
      <c r="Q16" s="166">
        <v>43723</v>
      </c>
      <c r="R16" s="167">
        <v>43729</v>
      </c>
      <c r="S16" s="164">
        <v>38</v>
      </c>
      <c r="T16" s="164">
        <v>0</v>
      </c>
      <c r="U16" s="85">
        <v>0</v>
      </c>
      <c r="V16" s="83">
        <v>1</v>
      </c>
      <c r="W16" s="169">
        <v>1</v>
      </c>
      <c r="X16" s="169">
        <v>1</v>
      </c>
      <c r="AA16" s="83">
        <v>1</v>
      </c>
    </row>
    <row r="17" spans="1:27">
      <c r="A17" s="162" t="s">
        <v>1184</v>
      </c>
      <c r="B17" s="162" t="s">
        <v>1183</v>
      </c>
      <c r="C17" s="162" t="s">
        <v>1064</v>
      </c>
      <c r="D17" s="162" t="s">
        <v>1182</v>
      </c>
      <c r="E17" s="162" t="s">
        <v>1183</v>
      </c>
      <c r="M17" s="162" t="s">
        <v>1318</v>
      </c>
      <c r="N17" s="162" t="s">
        <v>1281</v>
      </c>
      <c r="O17" s="166">
        <v>43822</v>
      </c>
      <c r="P17" s="166">
        <v>43826</v>
      </c>
      <c r="Q17" s="166">
        <v>43821</v>
      </c>
      <c r="R17" s="167">
        <v>43827</v>
      </c>
      <c r="S17" s="164">
        <v>52</v>
      </c>
      <c r="T17" s="164">
        <v>2</v>
      </c>
      <c r="U17" s="85">
        <v>0</v>
      </c>
      <c r="V17" s="83">
        <v>1</v>
      </c>
      <c r="W17" s="169">
        <v>0</v>
      </c>
      <c r="X17" s="169">
        <v>0</v>
      </c>
      <c r="AA17" s="83">
        <v>0</v>
      </c>
    </row>
    <row r="18" spans="1:27">
      <c r="A18" s="162" t="s">
        <v>1184</v>
      </c>
      <c r="B18" s="162" t="s">
        <v>1183</v>
      </c>
      <c r="C18" s="162" t="s">
        <v>1064</v>
      </c>
      <c r="D18" s="162" t="s">
        <v>1182</v>
      </c>
      <c r="E18" s="162" t="s">
        <v>1183</v>
      </c>
      <c r="M18" s="162" t="s">
        <v>1318</v>
      </c>
      <c r="N18" s="162" t="s">
        <v>1278</v>
      </c>
      <c r="O18" s="166">
        <v>43822</v>
      </c>
      <c r="P18" s="166">
        <v>43826</v>
      </c>
      <c r="Q18" s="166">
        <v>43821</v>
      </c>
      <c r="R18" s="167">
        <v>43827</v>
      </c>
      <c r="S18" s="164">
        <v>52</v>
      </c>
      <c r="T18" s="164">
        <v>2</v>
      </c>
      <c r="U18" s="85">
        <v>0</v>
      </c>
      <c r="V18" s="83">
        <v>1</v>
      </c>
      <c r="W18" s="169">
        <v>0</v>
      </c>
      <c r="X18" s="169">
        <v>0</v>
      </c>
      <c r="AA18" s="83">
        <v>0</v>
      </c>
    </row>
    <row r="19" spans="1:27">
      <c r="A19" s="162" t="s">
        <v>1184</v>
      </c>
      <c r="B19" s="162" t="s">
        <v>1230</v>
      </c>
      <c r="C19" s="162" t="s">
        <v>1064</v>
      </c>
      <c r="D19" s="162" t="s">
        <v>1182</v>
      </c>
      <c r="E19" s="162" t="s">
        <v>1230</v>
      </c>
      <c r="M19" s="162" t="s">
        <v>1319</v>
      </c>
      <c r="N19" s="162" t="s">
        <v>776</v>
      </c>
      <c r="O19" s="166">
        <v>43829</v>
      </c>
      <c r="P19" s="166">
        <v>43847</v>
      </c>
      <c r="Q19" s="166">
        <v>43828</v>
      </c>
      <c r="R19" s="167">
        <v>43834</v>
      </c>
      <c r="S19" s="164">
        <v>53</v>
      </c>
      <c r="T19" s="164">
        <v>4</v>
      </c>
      <c r="U19" s="85">
        <v>0</v>
      </c>
      <c r="V19" s="83">
        <v>1</v>
      </c>
      <c r="W19" s="169">
        <v>0</v>
      </c>
      <c r="X19" s="169">
        <v>0</v>
      </c>
      <c r="AA19" s="83">
        <v>0</v>
      </c>
    </row>
    <row r="20" spans="1:27">
      <c r="A20" s="162" t="s">
        <v>1184</v>
      </c>
      <c r="B20" s="162" t="s">
        <v>1230</v>
      </c>
      <c r="C20" s="162" t="s">
        <v>1064</v>
      </c>
      <c r="D20" s="162" t="s">
        <v>1182</v>
      </c>
      <c r="E20" s="162" t="s">
        <v>1230</v>
      </c>
      <c r="M20" s="162" t="s">
        <v>1319</v>
      </c>
      <c r="N20" s="162" t="s">
        <v>776</v>
      </c>
      <c r="O20" s="166">
        <v>43829</v>
      </c>
      <c r="P20" s="166">
        <v>43847</v>
      </c>
      <c r="Q20" s="166">
        <v>43835</v>
      </c>
      <c r="R20" s="167">
        <v>43841</v>
      </c>
      <c r="S20" s="164">
        <v>2</v>
      </c>
      <c r="T20" s="164">
        <v>5</v>
      </c>
      <c r="U20" s="85">
        <v>0</v>
      </c>
      <c r="V20" s="83">
        <v>1</v>
      </c>
      <c r="W20" s="169">
        <v>0</v>
      </c>
      <c r="X20" s="169">
        <v>0</v>
      </c>
      <c r="AA20" s="83">
        <v>0</v>
      </c>
    </row>
    <row r="21" spans="1:27">
      <c r="A21" s="162" t="s">
        <v>1184</v>
      </c>
      <c r="B21" s="162" t="s">
        <v>1230</v>
      </c>
      <c r="C21" s="162" t="s">
        <v>1064</v>
      </c>
      <c r="D21" s="162" t="s">
        <v>1182</v>
      </c>
      <c r="E21" s="162" t="s">
        <v>1230</v>
      </c>
      <c r="M21" s="162" t="s">
        <v>1319</v>
      </c>
      <c r="N21" s="162" t="s">
        <v>776</v>
      </c>
      <c r="O21" s="166">
        <v>43829</v>
      </c>
      <c r="P21" s="166">
        <v>43847</v>
      </c>
      <c r="Q21" s="166">
        <v>43842</v>
      </c>
      <c r="R21" s="167">
        <v>43848</v>
      </c>
      <c r="S21" s="164">
        <v>3</v>
      </c>
      <c r="T21" s="164">
        <v>5</v>
      </c>
      <c r="U21" s="85">
        <v>0</v>
      </c>
      <c r="V21" s="83">
        <v>1</v>
      </c>
      <c r="W21" s="169">
        <v>0</v>
      </c>
      <c r="X21" s="169">
        <v>0</v>
      </c>
      <c r="AA21" s="83">
        <v>0</v>
      </c>
    </row>
    <row r="22" spans="1:27">
      <c r="A22" s="162" t="s">
        <v>1184</v>
      </c>
      <c r="B22" s="162" t="s">
        <v>1320</v>
      </c>
      <c r="C22" s="162" t="s">
        <v>1064</v>
      </c>
      <c r="D22" s="162" t="s">
        <v>1182</v>
      </c>
      <c r="E22" s="162" t="s">
        <v>1320</v>
      </c>
      <c r="M22" s="162" t="s">
        <v>1321</v>
      </c>
      <c r="N22" s="162" t="s">
        <v>1282</v>
      </c>
      <c r="O22" s="166">
        <v>43847</v>
      </c>
      <c r="P22" s="166">
        <v>43847</v>
      </c>
      <c r="Q22" s="166">
        <v>43842</v>
      </c>
      <c r="R22" s="167">
        <v>43848</v>
      </c>
      <c r="S22" s="164">
        <v>3</v>
      </c>
      <c r="T22" s="164">
        <v>0.5</v>
      </c>
      <c r="U22" s="85">
        <v>0</v>
      </c>
      <c r="V22" s="83">
        <v>1</v>
      </c>
      <c r="W22" s="169">
        <v>0</v>
      </c>
      <c r="X22" s="169">
        <v>0</v>
      </c>
      <c r="AA22" s="83">
        <v>0</v>
      </c>
    </row>
    <row r="23" spans="1:27">
      <c r="A23" s="162" t="s">
        <v>1184</v>
      </c>
      <c r="B23" s="162" t="s">
        <v>1320</v>
      </c>
      <c r="C23" s="162" t="s">
        <v>1064</v>
      </c>
      <c r="D23" s="162" t="s">
        <v>1182</v>
      </c>
      <c r="E23" s="162" t="s">
        <v>1320</v>
      </c>
      <c r="M23" s="162" t="s">
        <v>1321</v>
      </c>
      <c r="N23" s="162" t="s">
        <v>1283</v>
      </c>
      <c r="O23" s="166">
        <v>43847</v>
      </c>
      <c r="P23" s="166">
        <v>43847</v>
      </c>
      <c r="Q23" s="166">
        <v>43842</v>
      </c>
      <c r="R23" s="167">
        <v>43848</v>
      </c>
      <c r="S23" s="164">
        <v>3</v>
      </c>
      <c r="T23" s="164">
        <v>0.5</v>
      </c>
      <c r="U23" s="85">
        <v>0</v>
      </c>
      <c r="V23" s="83">
        <v>1</v>
      </c>
      <c r="W23" s="169">
        <v>0</v>
      </c>
      <c r="X23" s="169">
        <v>0</v>
      </c>
      <c r="AA23" s="83">
        <v>0</v>
      </c>
    </row>
    <row r="24" spans="1:27">
      <c r="A24" s="162" t="s">
        <v>1184</v>
      </c>
      <c r="B24" s="162" t="s">
        <v>1322</v>
      </c>
      <c r="C24" s="162" t="s">
        <v>1064</v>
      </c>
      <c r="D24" s="162" t="s">
        <v>1182</v>
      </c>
      <c r="E24" s="162" t="s">
        <v>1322</v>
      </c>
      <c r="M24" s="162" t="s">
        <v>1323</v>
      </c>
      <c r="N24" s="162" t="s">
        <v>584</v>
      </c>
      <c r="O24" s="166">
        <v>43847</v>
      </c>
      <c r="P24" s="166">
        <v>43847</v>
      </c>
      <c r="Q24" s="166">
        <v>43842</v>
      </c>
      <c r="R24" s="167">
        <v>43848</v>
      </c>
      <c r="S24" s="164">
        <v>3</v>
      </c>
      <c r="T24" s="164">
        <v>1</v>
      </c>
      <c r="U24" s="85">
        <v>0</v>
      </c>
      <c r="V24" s="83">
        <v>1</v>
      </c>
      <c r="W24" s="169">
        <v>0</v>
      </c>
      <c r="X24" s="169">
        <v>0</v>
      </c>
      <c r="AA24" s="83">
        <v>0</v>
      </c>
    </row>
    <row r="25" spans="1:27">
      <c r="A25" s="162" t="s">
        <v>1184</v>
      </c>
      <c r="B25" s="162" t="s">
        <v>1325</v>
      </c>
      <c r="C25" s="162" t="s">
        <v>1167</v>
      </c>
      <c r="D25" s="162" t="s">
        <v>1381</v>
      </c>
      <c r="E25" s="162" t="s">
        <v>1325</v>
      </c>
      <c r="M25" s="162" t="s">
        <v>1326</v>
      </c>
      <c r="N25" s="162" t="s">
        <v>584</v>
      </c>
      <c r="O25" s="166">
        <v>43700</v>
      </c>
      <c r="P25" s="166">
        <v>43718</v>
      </c>
      <c r="Q25" s="166">
        <v>43696</v>
      </c>
      <c r="R25" s="167">
        <v>43701</v>
      </c>
      <c r="S25" s="164">
        <v>34</v>
      </c>
      <c r="T25" s="164">
        <v>1</v>
      </c>
      <c r="U25" s="85">
        <v>1</v>
      </c>
      <c r="V25" s="83">
        <v>1</v>
      </c>
      <c r="W25" s="169">
        <v>1</v>
      </c>
      <c r="X25" s="169">
        <v>1</v>
      </c>
      <c r="AA25" s="83">
        <v>1</v>
      </c>
    </row>
    <row r="26" spans="1:27">
      <c r="A26" s="162" t="s">
        <v>1184</v>
      </c>
      <c r="B26" s="162" t="s">
        <v>1325</v>
      </c>
      <c r="C26" s="162" t="s">
        <v>1167</v>
      </c>
      <c r="D26" s="162" t="s">
        <v>1381</v>
      </c>
      <c r="E26" s="162" t="s">
        <v>1325</v>
      </c>
      <c r="M26" s="162" t="s">
        <v>1326</v>
      </c>
      <c r="N26" s="162" t="s">
        <v>584</v>
      </c>
      <c r="O26" s="166">
        <v>43700</v>
      </c>
      <c r="P26" s="166">
        <v>43718</v>
      </c>
      <c r="Q26" s="166">
        <v>43702</v>
      </c>
      <c r="R26" s="167">
        <v>43708</v>
      </c>
      <c r="S26" s="164">
        <v>35</v>
      </c>
      <c r="T26" s="164">
        <v>5</v>
      </c>
      <c r="U26" s="85">
        <v>5</v>
      </c>
      <c r="V26" s="83">
        <v>1</v>
      </c>
      <c r="W26" s="169">
        <v>1</v>
      </c>
      <c r="X26" s="169">
        <v>1</v>
      </c>
      <c r="AA26" s="83">
        <v>5</v>
      </c>
    </row>
    <row r="27" spans="1:27">
      <c r="A27" s="162" t="s">
        <v>1184</v>
      </c>
      <c r="B27" s="162" t="s">
        <v>1325</v>
      </c>
      <c r="C27" s="162" t="s">
        <v>1167</v>
      </c>
      <c r="D27" s="162" t="s">
        <v>1381</v>
      </c>
      <c r="E27" s="162" t="s">
        <v>1325</v>
      </c>
      <c r="M27" s="162" t="s">
        <v>1326</v>
      </c>
      <c r="N27" s="162" t="s">
        <v>584</v>
      </c>
      <c r="O27" s="166">
        <v>43700</v>
      </c>
      <c r="P27" s="166">
        <v>43718</v>
      </c>
      <c r="Q27" s="166">
        <v>43709</v>
      </c>
      <c r="R27" s="167">
        <v>43715</v>
      </c>
      <c r="S27" s="164">
        <v>36</v>
      </c>
      <c r="T27" s="164">
        <v>5</v>
      </c>
      <c r="U27" s="85">
        <v>5</v>
      </c>
      <c r="V27" s="83">
        <v>1</v>
      </c>
      <c r="W27" s="169">
        <v>1</v>
      </c>
      <c r="X27" s="169">
        <v>1</v>
      </c>
      <c r="AA27" s="83">
        <v>5</v>
      </c>
    </row>
    <row r="28" spans="1:27">
      <c r="A28" s="162" t="s">
        <v>1184</v>
      </c>
      <c r="B28" s="162" t="s">
        <v>1325</v>
      </c>
      <c r="C28" s="162" t="s">
        <v>1167</v>
      </c>
      <c r="D28" s="162" t="s">
        <v>1381</v>
      </c>
      <c r="E28" s="162" t="s">
        <v>1325</v>
      </c>
      <c r="M28" s="162" t="s">
        <v>1326</v>
      </c>
      <c r="N28" s="162" t="s">
        <v>584</v>
      </c>
      <c r="O28" s="166">
        <v>43700</v>
      </c>
      <c r="P28" s="166">
        <v>43718</v>
      </c>
      <c r="Q28" s="166">
        <v>43716</v>
      </c>
      <c r="R28" s="167">
        <v>43722</v>
      </c>
      <c r="S28" s="164">
        <v>37</v>
      </c>
      <c r="T28" s="164">
        <v>2</v>
      </c>
      <c r="U28" s="85">
        <v>2</v>
      </c>
      <c r="V28" s="83">
        <v>1</v>
      </c>
      <c r="W28" s="169">
        <v>1</v>
      </c>
      <c r="X28" s="169">
        <v>1</v>
      </c>
      <c r="AA28" s="83">
        <v>2</v>
      </c>
    </row>
    <row r="29" spans="1:27">
      <c r="A29" s="162" t="s">
        <v>1185</v>
      </c>
      <c r="B29" s="162" t="s">
        <v>1329</v>
      </c>
      <c r="C29" s="162" t="s">
        <v>1167</v>
      </c>
      <c r="D29" s="162" t="s">
        <v>1381</v>
      </c>
      <c r="E29" s="162" t="s">
        <v>1327</v>
      </c>
      <c r="F29" s="162" t="s">
        <v>1329</v>
      </c>
      <c r="M29" s="162" t="s">
        <v>1330</v>
      </c>
      <c r="N29" s="162" t="s">
        <v>584</v>
      </c>
      <c r="O29" s="166">
        <v>43706</v>
      </c>
      <c r="P29" s="166">
        <v>43717</v>
      </c>
      <c r="Q29" s="166">
        <v>43702</v>
      </c>
      <c r="R29" s="167">
        <v>43708</v>
      </c>
      <c r="S29" s="164">
        <v>35</v>
      </c>
      <c r="T29" s="164">
        <v>2</v>
      </c>
      <c r="U29" s="85">
        <v>2</v>
      </c>
      <c r="V29" s="83">
        <v>1</v>
      </c>
      <c r="W29" s="169">
        <v>1</v>
      </c>
      <c r="X29" s="169">
        <v>1</v>
      </c>
      <c r="AA29" s="83">
        <v>0</v>
      </c>
    </row>
    <row r="30" spans="1:27">
      <c r="A30" s="162" t="s">
        <v>1185</v>
      </c>
      <c r="B30" s="162" t="s">
        <v>1329</v>
      </c>
      <c r="C30" s="162" t="s">
        <v>1167</v>
      </c>
      <c r="D30" s="162" t="s">
        <v>1381</v>
      </c>
      <c r="E30" s="162" t="s">
        <v>1327</v>
      </c>
      <c r="F30" s="162" t="s">
        <v>1329</v>
      </c>
      <c r="M30" s="162" t="s">
        <v>1330</v>
      </c>
      <c r="N30" s="162" t="s">
        <v>584</v>
      </c>
      <c r="O30" s="166">
        <v>43706</v>
      </c>
      <c r="P30" s="166">
        <v>43717</v>
      </c>
      <c r="Q30" s="166">
        <v>43709</v>
      </c>
      <c r="R30" s="167">
        <v>43715</v>
      </c>
      <c r="S30" s="164">
        <v>36</v>
      </c>
      <c r="T30" s="164">
        <v>5</v>
      </c>
      <c r="U30" s="85">
        <v>5</v>
      </c>
      <c r="V30" s="83">
        <v>1</v>
      </c>
      <c r="W30" s="169">
        <v>1</v>
      </c>
      <c r="X30" s="169">
        <v>1</v>
      </c>
      <c r="AA30" s="83">
        <v>5</v>
      </c>
    </row>
    <row r="31" spans="1:27">
      <c r="A31" s="162" t="s">
        <v>1185</v>
      </c>
      <c r="B31" s="162" t="s">
        <v>1329</v>
      </c>
      <c r="C31" s="162" t="s">
        <v>1167</v>
      </c>
      <c r="D31" s="162" t="s">
        <v>1381</v>
      </c>
      <c r="E31" s="162" t="s">
        <v>1327</v>
      </c>
      <c r="F31" s="162" t="s">
        <v>1329</v>
      </c>
      <c r="M31" s="162" t="s">
        <v>1330</v>
      </c>
      <c r="N31" s="162" t="s">
        <v>584</v>
      </c>
      <c r="O31" s="166">
        <v>43706</v>
      </c>
      <c r="P31" s="166">
        <v>43717</v>
      </c>
      <c r="Q31" s="166">
        <v>43716</v>
      </c>
      <c r="R31" s="167">
        <v>43722</v>
      </c>
      <c r="S31" s="164">
        <v>37</v>
      </c>
      <c r="T31" s="164">
        <v>1</v>
      </c>
      <c r="U31" s="85">
        <v>1</v>
      </c>
      <c r="V31" s="83">
        <v>1</v>
      </c>
      <c r="W31" s="169">
        <v>1</v>
      </c>
      <c r="X31" s="169">
        <v>1</v>
      </c>
      <c r="AA31" s="83">
        <v>3</v>
      </c>
    </row>
    <row r="32" spans="1:27">
      <c r="A32" s="162" t="s">
        <v>1185</v>
      </c>
      <c r="B32" s="162" t="s">
        <v>1329</v>
      </c>
      <c r="C32" s="162" t="s">
        <v>1167</v>
      </c>
      <c r="D32" s="162" t="s">
        <v>1381</v>
      </c>
      <c r="E32" s="162" t="s">
        <v>1327</v>
      </c>
      <c r="F32" s="162" t="s">
        <v>1329</v>
      </c>
      <c r="M32" s="162" t="s">
        <v>1330</v>
      </c>
      <c r="N32" s="162" t="s">
        <v>584</v>
      </c>
      <c r="O32" s="166">
        <v>43706</v>
      </c>
      <c r="P32" s="166">
        <v>43717</v>
      </c>
      <c r="Q32" s="166">
        <v>43723</v>
      </c>
      <c r="R32" s="167">
        <v>43729</v>
      </c>
      <c r="S32" s="164">
        <v>38</v>
      </c>
      <c r="T32" s="164">
        <v>0</v>
      </c>
      <c r="U32" s="85">
        <v>0</v>
      </c>
      <c r="V32" s="83">
        <v>1</v>
      </c>
      <c r="W32" s="169">
        <v>1</v>
      </c>
      <c r="X32" s="169">
        <v>1</v>
      </c>
      <c r="AA32" s="83">
        <v>0</v>
      </c>
    </row>
    <row r="33" spans="1:27">
      <c r="A33" s="162" t="s">
        <v>1185</v>
      </c>
      <c r="B33" s="162" t="s">
        <v>1329</v>
      </c>
      <c r="C33" s="162" t="s">
        <v>1167</v>
      </c>
      <c r="D33" s="162" t="s">
        <v>1381</v>
      </c>
      <c r="E33" s="162" t="s">
        <v>1327</v>
      </c>
      <c r="F33" s="162" t="s">
        <v>1329</v>
      </c>
      <c r="M33" s="162" t="s">
        <v>1330</v>
      </c>
      <c r="N33" s="162" t="s">
        <v>584</v>
      </c>
      <c r="O33" s="166">
        <v>43706</v>
      </c>
      <c r="P33" s="166">
        <v>43717</v>
      </c>
      <c r="Q33" s="166">
        <v>43730</v>
      </c>
      <c r="R33" s="167">
        <v>43736</v>
      </c>
      <c r="S33" s="164">
        <v>39</v>
      </c>
      <c r="T33" s="164">
        <v>0</v>
      </c>
      <c r="U33" s="85">
        <v>0</v>
      </c>
      <c r="V33" s="83">
        <v>1</v>
      </c>
      <c r="W33" s="169">
        <v>1</v>
      </c>
      <c r="X33" s="169">
        <v>1</v>
      </c>
      <c r="AA33" s="83">
        <v>0</v>
      </c>
    </row>
    <row r="34" spans="1:27">
      <c r="A34" s="162" t="s">
        <v>1185</v>
      </c>
      <c r="B34" s="162" t="s">
        <v>1331</v>
      </c>
      <c r="C34" s="162" t="s">
        <v>1167</v>
      </c>
      <c r="D34" s="162" t="s">
        <v>1381</v>
      </c>
      <c r="E34" s="162" t="s">
        <v>1327</v>
      </c>
      <c r="F34" s="162" t="s">
        <v>1331</v>
      </c>
      <c r="M34" s="162" t="s">
        <v>1332</v>
      </c>
      <c r="N34" s="162" t="s">
        <v>584</v>
      </c>
      <c r="O34" s="166">
        <v>43706</v>
      </c>
      <c r="P34" s="166">
        <v>43717</v>
      </c>
      <c r="Q34" s="166">
        <v>43702</v>
      </c>
      <c r="R34" s="167">
        <v>43708</v>
      </c>
      <c r="S34" s="164">
        <v>35</v>
      </c>
      <c r="T34" s="164">
        <v>2</v>
      </c>
      <c r="U34" s="85">
        <v>2</v>
      </c>
      <c r="V34" s="83">
        <v>1</v>
      </c>
      <c r="W34" s="169">
        <v>1</v>
      </c>
      <c r="X34" s="169">
        <v>0.45</v>
      </c>
      <c r="AA34" s="83">
        <v>2</v>
      </c>
    </row>
    <row r="35" spans="1:27">
      <c r="A35" s="162" t="s">
        <v>1185</v>
      </c>
      <c r="B35" s="162" t="s">
        <v>1331</v>
      </c>
      <c r="C35" s="162" t="s">
        <v>1167</v>
      </c>
      <c r="D35" s="162" t="s">
        <v>1381</v>
      </c>
      <c r="E35" s="162" t="s">
        <v>1327</v>
      </c>
      <c r="F35" s="162" t="s">
        <v>1331</v>
      </c>
      <c r="M35" s="162" t="s">
        <v>1332</v>
      </c>
      <c r="N35" s="162" t="s">
        <v>584</v>
      </c>
      <c r="O35" s="166">
        <v>43706</v>
      </c>
      <c r="P35" s="166">
        <v>43717</v>
      </c>
      <c r="Q35" s="166">
        <v>43709</v>
      </c>
      <c r="R35" s="167">
        <v>43715</v>
      </c>
      <c r="S35" s="164">
        <v>36</v>
      </c>
      <c r="T35" s="164">
        <v>5</v>
      </c>
      <c r="U35" s="85">
        <v>5</v>
      </c>
      <c r="V35" s="83">
        <v>1</v>
      </c>
      <c r="W35" s="169">
        <v>1</v>
      </c>
      <c r="X35" s="169">
        <v>0.45</v>
      </c>
      <c r="AA35" s="83">
        <v>1.6</v>
      </c>
    </row>
    <row r="36" spans="1:27">
      <c r="A36" s="162" t="s">
        <v>1185</v>
      </c>
      <c r="B36" s="162" t="s">
        <v>1331</v>
      </c>
      <c r="C36" s="162" t="s">
        <v>1167</v>
      </c>
      <c r="D36" s="162" t="s">
        <v>1381</v>
      </c>
      <c r="E36" s="162" t="s">
        <v>1327</v>
      </c>
      <c r="F36" s="162" t="s">
        <v>1331</v>
      </c>
      <c r="M36" s="162" t="s">
        <v>1332</v>
      </c>
      <c r="N36" s="162" t="s">
        <v>584</v>
      </c>
      <c r="O36" s="166">
        <v>43706</v>
      </c>
      <c r="P36" s="166">
        <v>43717</v>
      </c>
      <c r="Q36" s="166">
        <v>43716</v>
      </c>
      <c r="R36" s="167">
        <v>43722</v>
      </c>
      <c r="S36" s="164">
        <v>37</v>
      </c>
      <c r="T36" s="164">
        <v>1</v>
      </c>
      <c r="U36" s="85">
        <v>1</v>
      </c>
      <c r="V36" s="83">
        <v>1</v>
      </c>
      <c r="W36" s="169">
        <v>1</v>
      </c>
      <c r="X36" s="169">
        <v>0.45</v>
      </c>
      <c r="AA36" s="83">
        <v>0</v>
      </c>
    </row>
    <row r="37" spans="1:27">
      <c r="A37" s="162" t="s">
        <v>1184</v>
      </c>
      <c r="B37" s="162" t="s">
        <v>1333</v>
      </c>
      <c r="C37" s="162" t="s">
        <v>1167</v>
      </c>
      <c r="D37" s="162" t="s">
        <v>1382</v>
      </c>
      <c r="E37" s="162" t="s">
        <v>1333</v>
      </c>
      <c r="M37" s="162" t="s">
        <v>1334</v>
      </c>
      <c r="N37" s="162" t="s">
        <v>584</v>
      </c>
      <c r="O37" s="166">
        <v>43720</v>
      </c>
      <c r="P37" s="166">
        <v>43738</v>
      </c>
      <c r="Q37" s="166">
        <v>43716</v>
      </c>
      <c r="R37" s="167">
        <v>43722</v>
      </c>
      <c r="S37" s="164">
        <v>37</v>
      </c>
      <c r="T37" s="164">
        <v>0</v>
      </c>
      <c r="U37" s="85">
        <v>0</v>
      </c>
      <c r="V37" s="83">
        <v>1</v>
      </c>
      <c r="W37" s="169">
        <v>0.81818181818181823</v>
      </c>
      <c r="X37" s="169">
        <v>0</v>
      </c>
      <c r="AA37" s="83">
        <v>0</v>
      </c>
    </row>
    <row r="38" spans="1:27">
      <c r="A38" s="162" t="s">
        <v>1184</v>
      </c>
      <c r="B38" s="162" t="s">
        <v>1333</v>
      </c>
      <c r="C38" s="162" t="s">
        <v>1167</v>
      </c>
      <c r="D38" s="162" t="s">
        <v>1382</v>
      </c>
      <c r="E38" s="162" t="s">
        <v>1333</v>
      </c>
      <c r="M38" s="162" t="s">
        <v>1334</v>
      </c>
      <c r="N38" s="162" t="s">
        <v>584</v>
      </c>
      <c r="O38" s="166">
        <v>43720</v>
      </c>
      <c r="P38" s="166">
        <v>43738</v>
      </c>
      <c r="Q38" s="166">
        <v>43723</v>
      </c>
      <c r="R38" s="167">
        <v>43729</v>
      </c>
      <c r="S38" s="164">
        <v>38</v>
      </c>
      <c r="T38" s="164">
        <v>5</v>
      </c>
      <c r="U38" s="85">
        <v>5</v>
      </c>
      <c r="V38" s="83">
        <v>1</v>
      </c>
      <c r="W38" s="169">
        <v>0.81818181818181823</v>
      </c>
      <c r="X38" s="169">
        <v>0</v>
      </c>
      <c r="AA38" s="83">
        <v>0</v>
      </c>
    </row>
    <row r="39" spans="1:27">
      <c r="A39" s="162" t="s">
        <v>1184</v>
      </c>
      <c r="B39" s="162" t="s">
        <v>1333</v>
      </c>
      <c r="C39" s="162" t="s">
        <v>1167</v>
      </c>
      <c r="D39" s="162" t="s">
        <v>1382</v>
      </c>
      <c r="E39" s="162" t="s">
        <v>1333</v>
      </c>
      <c r="M39" s="162" t="s">
        <v>1334</v>
      </c>
      <c r="N39" s="162" t="s">
        <v>584</v>
      </c>
      <c r="O39" s="166">
        <v>43720</v>
      </c>
      <c r="P39" s="166">
        <v>43738</v>
      </c>
      <c r="Q39" s="166">
        <v>43730</v>
      </c>
      <c r="R39" s="167">
        <v>43736</v>
      </c>
      <c r="S39" s="164">
        <v>39</v>
      </c>
      <c r="T39" s="164">
        <v>5</v>
      </c>
      <c r="U39" s="85">
        <v>4</v>
      </c>
      <c r="V39" s="83">
        <v>1</v>
      </c>
      <c r="W39" s="169">
        <v>0.81818181818181823</v>
      </c>
      <c r="X39" s="169">
        <v>0</v>
      </c>
      <c r="AA39" s="83">
        <v>0</v>
      </c>
    </row>
    <row r="40" spans="1:27">
      <c r="A40" s="162" t="s">
        <v>1184</v>
      </c>
      <c r="B40" s="162" t="s">
        <v>1333</v>
      </c>
      <c r="C40" s="162" t="s">
        <v>1167</v>
      </c>
      <c r="D40" s="162" t="s">
        <v>1382</v>
      </c>
      <c r="E40" s="162" t="s">
        <v>1333</v>
      </c>
      <c r="M40" s="162" t="s">
        <v>1334</v>
      </c>
      <c r="N40" s="162" t="s">
        <v>584</v>
      </c>
      <c r="O40" s="166">
        <v>43720</v>
      </c>
      <c r="P40" s="166">
        <v>43738</v>
      </c>
      <c r="Q40" s="166">
        <v>43737</v>
      </c>
      <c r="R40" s="167">
        <v>43743</v>
      </c>
      <c r="S40" s="164">
        <v>40</v>
      </c>
      <c r="T40" s="164">
        <v>1</v>
      </c>
      <c r="U40" s="85">
        <v>0</v>
      </c>
      <c r="V40" s="83">
        <v>1</v>
      </c>
      <c r="W40" s="169">
        <v>0.81818181818181823</v>
      </c>
      <c r="X40" s="169">
        <v>0</v>
      </c>
      <c r="AA40" s="83">
        <v>0</v>
      </c>
    </row>
    <row r="41" spans="1:27">
      <c r="A41" s="162" t="s">
        <v>1185</v>
      </c>
      <c r="B41" s="162" t="s">
        <v>1337</v>
      </c>
      <c r="C41" s="162" t="s">
        <v>1167</v>
      </c>
      <c r="D41" s="162" t="s">
        <v>1382</v>
      </c>
      <c r="E41" s="162" t="s">
        <v>1335</v>
      </c>
      <c r="F41" s="162" t="s">
        <v>1337</v>
      </c>
      <c r="M41" s="162" t="s">
        <v>1338</v>
      </c>
      <c r="N41" s="162" t="s">
        <v>584</v>
      </c>
      <c r="O41" s="166">
        <v>43727</v>
      </c>
      <c r="P41" s="166">
        <v>43738</v>
      </c>
      <c r="Q41" s="166">
        <v>43723</v>
      </c>
      <c r="R41" s="167">
        <v>43729</v>
      </c>
      <c r="S41" s="164">
        <v>38</v>
      </c>
      <c r="T41" s="164">
        <v>2</v>
      </c>
      <c r="U41" s="85">
        <v>2</v>
      </c>
      <c r="V41" s="83">
        <v>1</v>
      </c>
      <c r="W41" s="169">
        <v>0.75</v>
      </c>
      <c r="X41" s="169">
        <v>0</v>
      </c>
      <c r="AA41" s="83">
        <v>0</v>
      </c>
    </row>
    <row r="42" spans="1:27">
      <c r="A42" s="162" t="s">
        <v>1185</v>
      </c>
      <c r="B42" s="162" t="s">
        <v>1337</v>
      </c>
      <c r="C42" s="162" t="s">
        <v>1167</v>
      </c>
      <c r="D42" s="162" t="s">
        <v>1382</v>
      </c>
      <c r="E42" s="162" t="s">
        <v>1335</v>
      </c>
      <c r="F42" s="162" t="s">
        <v>1337</v>
      </c>
      <c r="M42" s="162" t="s">
        <v>1338</v>
      </c>
      <c r="N42" s="162" t="s">
        <v>584</v>
      </c>
      <c r="O42" s="166">
        <v>43727</v>
      </c>
      <c r="P42" s="166">
        <v>43738</v>
      </c>
      <c r="Q42" s="166">
        <v>43730</v>
      </c>
      <c r="R42" s="167">
        <v>43736</v>
      </c>
      <c r="S42" s="164">
        <v>39</v>
      </c>
      <c r="T42" s="164">
        <v>5</v>
      </c>
      <c r="U42" s="85">
        <v>4</v>
      </c>
      <c r="V42" s="83">
        <v>1</v>
      </c>
      <c r="W42" s="169">
        <v>0.75</v>
      </c>
      <c r="X42" s="169">
        <v>0</v>
      </c>
      <c r="AA42" s="83">
        <v>0</v>
      </c>
    </row>
    <row r="43" spans="1:27">
      <c r="A43" s="162" t="s">
        <v>1185</v>
      </c>
      <c r="B43" s="162" t="s">
        <v>1337</v>
      </c>
      <c r="C43" s="162" t="s">
        <v>1167</v>
      </c>
      <c r="D43" s="162" t="s">
        <v>1382</v>
      </c>
      <c r="E43" s="162" t="s">
        <v>1335</v>
      </c>
      <c r="F43" s="162" t="s">
        <v>1337</v>
      </c>
      <c r="M43" s="162" t="s">
        <v>1338</v>
      </c>
      <c r="N43" s="162" t="s">
        <v>584</v>
      </c>
      <c r="O43" s="166">
        <v>43727</v>
      </c>
      <c r="P43" s="166">
        <v>43738</v>
      </c>
      <c r="Q43" s="166">
        <v>43737</v>
      </c>
      <c r="R43" s="167">
        <v>43743</v>
      </c>
      <c r="S43" s="164">
        <v>40</v>
      </c>
      <c r="T43" s="164">
        <v>1</v>
      </c>
      <c r="U43" s="85">
        <v>0</v>
      </c>
      <c r="V43" s="83">
        <v>1</v>
      </c>
      <c r="W43" s="169">
        <v>0.75</v>
      </c>
      <c r="X43" s="169">
        <v>0</v>
      </c>
      <c r="AA43" s="83">
        <v>0</v>
      </c>
    </row>
    <row r="44" spans="1:27">
      <c r="A44" s="162" t="s">
        <v>1185</v>
      </c>
      <c r="B44" s="162" t="s">
        <v>1339</v>
      </c>
      <c r="C44" s="162" t="s">
        <v>1167</v>
      </c>
      <c r="D44" s="162" t="s">
        <v>1382</v>
      </c>
      <c r="E44" s="162" t="s">
        <v>1335</v>
      </c>
      <c r="F44" s="162" t="s">
        <v>1339</v>
      </c>
      <c r="M44" s="162" t="s">
        <v>1340</v>
      </c>
      <c r="N44" s="162" t="s">
        <v>584</v>
      </c>
      <c r="O44" s="166">
        <v>43734</v>
      </c>
      <c r="P44" s="166">
        <v>43745</v>
      </c>
      <c r="Q44" s="166">
        <v>43730</v>
      </c>
      <c r="R44" s="167">
        <v>43736</v>
      </c>
      <c r="S44" s="164">
        <v>39</v>
      </c>
      <c r="T44" s="164">
        <v>2</v>
      </c>
      <c r="U44" s="85">
        <v>1</v>
      </c>
      <c r="V44" s="83">
        <v>1</v>
      </c>
      <c r="W44" s="169">
        <v>0.14285714285714285</v>
      </c>
      <c r="X44" s="169">
        <v>0</v>
      </c>
      <c r="AA44" s="83">
        <v>0</v>
      </c>
    </row>
    <row r="45" spans="1:27">
      <c r="A45" s="162" t="s">
        <v>1185</v>
      </c>
      <c r="B45" s="162" t="s">
        <v>1339</v>
      </c>
      <c r="C45" s="162" t="s">
        <v>1167</v>
      </c>
      <c r="D45" s="162" t="s">
        <v>1382</v>
      </c>
      <c r="E45" s="162" t="s">
        <v>1335</v>
      </c>
      <c r="F45" s="162" t="s">
        <v>1339</v>
      </c>
      <c r="M45" s="162" t="s">
        <v>1340</v>
      </c>
      <c r="N45" s="162" t="s">
        <v>584</v>
      </c>
      <c r="O45" s="166">
        <v>43734</v>
      </c>
      <c r="P45" s="166">
        <v>43745</v>
      </c>
      <c r="Q45" s="166">
        <v>43737</v>
      </c>
      <c r="R45" s="167">
        <v>43743</v>
      </c>
      <c r="S45" s="164">
        <v>40</v>
      </c>
      <c r="T45" s="164">
        <v>4</v>
      </c>
      <c r="U45" s="85">
        <v>0</v>
      </c>
      <c r="V45" s="83">
        <v>1</v>
      </c>
      <c r="W45" s="169">
        <v>0.14285714285714285</v>
      </c>
      <c r="X45" s="169">
        <v>0</v>
      </c>
      <c r="AA45" s="83">
        <v>0</v>
      </c>
    </row>
    <row r="46" spans="1:27">
      <c r="A46" s="162" t="s">
        <v>1185</v>
      </c>
      <c r="B46" s="162" t="s">
        <v>1339</v>
      </c>
      <c r="C46" s="162" t="s">
        <v>1167</v>
      </c>
      <c r="D46" s="162" t="s">
        <v>1382</v>
      </c>
      <c r="E46" s="162" t="s">
        <v>1335</v>
      </c>
      <c r="F46" s="162" t="s">
        <v>1339</v>
      </c>
      <c r="M46" s="162" t="s">
        <v>1340</v>
      </c>
      <c r="N46" s="162" t="s">
        <v>584</v>
      </c>
      <c r="O46" s="166">
        <v>43734</v>
      </c>
      <c r="P46" s="166">
        <v>43745</v>
      </c>
      <c r="Q46" s="166">
        <v>43744</v>
      </c>
      <c r="R46" s="167">
        <v>43750</v>
      </c>
      <c r="S46" s="164">
        <v>41</v>
      </c>
      <c r="T46" s="164">
        <v>1</v>
      </c>
      <c r="U46" s="85">
        <v>0</v>
      </c>
      <c r="V46" s="83">
        <v>1</v>
      </c>
      <c r="W46" s="169">
        <v>0.14285714285714285</v>
      </c>
      <c r="X46" s="169">
        <v>0</v>
      </c>
      <c r="AA46" s="83">
        <v>0</v>
      </c>
    </row>
    <row r="47" spans="1:27">
      <c r="A47" s="162" t="s">
        <v>1185</v>
      </c>
      <c r="B47" s="162" t="s">
        <v>1341</v>
      </c>
      <c r="C47" s="162" t="s">
        <v>1167</v>
      </c>
      <c r="D47" s="162" t="s">
        <v>1382</v>
      </c>
      <c r="E47" s="162" t="s">
        <v>1335</v>
      </c>
      <c r="F47" s="162" t="s">
        <v>1341</v>
      </c>
      <c r="M47" s="162" t="s">
        <v>1342</v>
      </c>
      <c r="N47" s="162" t="s">
        <v>584</v>
      </c>
      <c r="O47" s="166">
        <v>43734</v>
      </c>
      <c r="P47" s="166">
        <v>43752</v>
      </c>
      <c r="Q47" s="166">
        <v>43730</v>
      </c>
      <c r="R47" s="167">
        <v>43736</v>
      </c>
      <c r="S47" s="164">
        <v>39</v>
      </c>
      <c r="T47" s="164">
        <v>2</v>
      </c>
      <c r="U47" s="85">
        <v>1</v>
      </c>
      <c r="V47" s="83">
        <v>1</v>
      </c>
      <c r="W47" s="169">
        <v>9.0909090909090912E-2</v>
      </c>
      <c r="X47" s="169">
        <v>0</v>
      </c>
      <c r="AA47" s="83">
        <v>0</v>
      </c>
    </row>
    <row r="48" spans="1:27">
      <c r="A48" s="162" t="s">
        <v>1185</v>
      </c>
      <c r="B48" s="162" t="s">
        <v>1341</v>
      </c>
      <c r="C48" s="162" t="s">
        <v>1167</v>
      </c>
      <c r="D48" s="162" t="s">
        <v>1382</v>
      </c>
      <c r="E48" s="162" t="s">
        <v>1335</v>
      </c>
      <c r="F48" s="162" t="s">
        <v>1341</v>
      </c>
      <c r="M48" s="162" t="s">
        <v>1342</v>
      </c>
      <c r="N48" s="162" t="s">
        <v>584</v>
      </c>
      <c r="O48" s="166">
        <v>43734</v>
      </c>
      <c r="P48" s="166">
        <v>43752</v>
      </c>
      <c r="Q48" s="166">
        <v>43737</v>
      </c>
      <c r="R48" s="167">
        <v>43743</v>
      </c>
      <c r="S48" s="164">
        <v>40</v>
      </c>
      <c r="T48" s="164">
        <v>4</v>
      </c>
      <c r="U48" s="85">
        <v>0</v>
      </c>
      <c r="V48" s="83">
        <v>1</v>
      </c>
      <c r="W48" s="169">
        <v>9.0909090909090912E-2</v>
      </c>
      <c r="X48" s="169">
        <v>0</v>
      </c>
      <c r="AA48" s="83">
        <v>0</v>
      </c>
    </row>
    <row r="49" spans="1:27">
      <c r="A49" s="162" t="s">
        <v>1185</v>
      </c>
      <c r="B49" s="162" t="s">
        <v>1341</v>
      </c>
      <c r="C49" s="162" t="s">
        <v>1167</v>
      </c>
      <c r="D49" s="162" t="s">
        <v>1382</v>
      </c>
      <c r="E49" s="162" t="s">
        <v>1335</v>
      </c>
      <c r="F49" s="162" t="s">
        <v>1341</v>
      </c>
      <c r="M49" s="162" t="s">
        <v>1342</v>
      </c>
      <c r="N49" s="162" t="s">
        <v>584</v>
      </c>
      <c r="O49" s="166">
        <v>43734</v>
      </c>
      <c r="P49" s="166">
        <v>43752</v>
      </c>
      <c r="Q49" s="166">
        <v>43744</v>
      </c>
      <c r="R49" s="167">
        <v>43750</v>
      </c>
      <c r="S49" s="164">
        <v>41</v>
      </c>
      <c r="T49" s="164">
        <v>4</v>
      </c>
      <c r="U49" s="85">
        <v>0</v>
      </c>
      <c r="V49" s="83">
        <v>1</v>
      </c>
      <c r="W49" s="169">
        <v>9.0909090909090912E-2</v>
      </c>
      <c r="X49" s="169">
        <v>0</v>
      </c>
      <c r="AA49" s="83">
        <v>0</v>
      </c>
    </row>
    <row r="50" spans="1:27">
      <c r="A50" s="162" t="s">
        <v>1185</v>
      </c>
      <c r="B50" s="162" t="s">
        <v>1341</v>
      </c>
      <c r="C50" s="162" t="s">
        <v>1167</v>
      </c>
      <c r="D50" s="162" t="s">
        <v>1382</v>
      </c>
      <c r="E50" s="162" t="s">
        <v>1335</v>
      </c>
      <c r="F50" s="162" t="s">
        <v>1341</v>
      </c>
      <c r="M50" s="162" t="s">
        <v>1342</v>
      </c>
      <c r="N50" s="162" t="s">
        <v>584</v>
      </c>
      <c r="O50" s="166">
        <v>43734</v>
      </c>
      <c r="P50" s="166">
        <v>43752</v>
      </c>
      <c r="Q50" s="166">
        <v>43751</v>
      </c>
      <c r="R50" s="167">
        <v>43757</v>
      </c>
      <c r="S50" s="164">
        <v>42</v>
      </c>
      <c r="T50" s="164">
        <v>1</v>
      </c>
      <c r="U50" s="85">
        <v>0</v>
      </c>
      <c r="V50" s="83">
        <v>1</v>
      </c>
      <c r="W50" s="169">
        <v>9.0909090909090912E-2</v>
      </c>
      <c r="X50" s="169">
        <v>0</v>
      </c>
      <c r="AA50" s="83">
        <v>0</v>
      </c>
    </row>
    <row r="51" spans="1:27">
      <c r="A51" s="162" t="s">
        <v>1184</v>
      </c>
      <c r="B51" s="162" t="s">
        <v>1343</v>
      </c>
      <c r="C51" s="162" t="s">
        <v>1167</v>
      </c>
      <c r="D51" s="162" t="s">
        <v>1382</v>
      </c>
      <c r="E51" s="162" t="s">
        <v>1343</v>
      </c>
      <c r="M51" s="162" t="s">
        <v>1344</v>
      </c>
      <c r="N51" s="162" t="s">
        <v>584</v>
      </c>
      <c r="O51" s="166">
        <v>43755</v>
      </c>
      <c r="P51" s="166">
        <v>43759</v>
      </c>
      <c r="Q51" s="166">
        <v>43751</v>
      </c>
      <c r="R51" s="167">
        <v>43757</v>
      </c>
      <c r="S51" s="164">
        <v>42</v>
      </c>
      <c r="T51" s="164">
        <v>2</v>
      </c>
      <c r="U51" s="85">
        <v>0</v>
      </c>
      <c r="V51" s="83">
        <v>1</v>
      </c>
      <c r="W51" s="169">
        <v>0</v>
      </c>
      <c r="X51" s="169">
        <v>0</v>
      </c>
      <c r="AA51" s="83">
        <v>0</v>
      </c>
    </row>
    <row r="52" spans="1:27">
      <c r="A52" s="162" t="s">
        <v>1184</v>
      </c>
      <c r="B52" s="162" t="s">
        <v>1343</v>
      </c>
      <c r="C52" s="162" t="s">
        <v>1167</v>
      </c>
      <c r="D52" s="162" t="s">
        <v>1382</v>
      </c>
      <c r="E52" s="162" t="s">
        <v>1343</v>
      </c>
      <c r="M52" s="162" t="s">
        <v>1344</v>
      </c>
      <c r="N52" s="162" t="s">
        <v>584</v>
      </c>
      <c r="O52" s="166">
        <v>43755</v>
      </c>
      <c r="P52" s="166">
        <v>43759</v>
      </c>
      <c r="Q52" s="166">
        <v>43758</v>
      </c>
      <c r="R52" s="167">
        <v>43764</v>
      </c>
      <c r="S52" s="164">
        <v>43</v>
      </c>
      <c r="T52" s="164">
        <v>1</v>
      </c>
      <c r="U52" s="85">
        <v>0</v>
      </c>
      <c r="V52" s="83">
        <v>1</v>
      </c>
      <c r="W52" s="169">
        <v>0</v>
      </c>
      <c r="X52" s="169">
        <v>0</v>
      </c>
      <c r="AA52" s="83">
        <v>0</v>
      </c>
    </row>
    <row r="53" spans="1:27">
      <c r="A53" s="162" t="s">
        <v>1185</v>
      </c>
      <c r="B53" s="162" t="s">
        <v>1347</v>
      </c>
      <c r="C53" s="162" t="s">
        <v>1167</v>
      </c>
      <c r="D53" s="162" t="s">
        <v>1383</v>
      </c>
      <c r="E53" s="162" t="s">
        <v>1345</v>
      </c>
      <c r="F53" s="162" t="s">
        <v>1347</v>
      </c>
      <c r="M53" s="162" t="s">
        <v>1348</v>
      </c>
      <c r="N53" s="162" t="s">
        <v>584</v>
      </c>
      <c r="O53" s="166">
        <v>43755</v>
      </c>
      <c r="P53" s="166">
        <v>43759</v>
      </c>
      <c r="Q53" s="166">
        <v>43751</v>
      </c>
      <c r="R53" s="167">
        <v>43757</v>
      </c>
      <c r="S53" s="164">
        <v>42</v>
      </c>
      <c r="T53" s="164">
        <v>2</v>
      </c>
      <c r="U53" s="85">
        <v>0</v>
      </c>
      <c r="V53" s="83">
        <v>1</v>
      </c>
      <c r="W53" s="169">
        <v>0</v>
      </c>
      <c r="X53" s="169">
        <v>0</v>
      </c>
      <c r="AA53" s="83">
        <v>0</v>
      </c>
    </row>
    <row r="54" spans="1:27">
      <c r="A54" s="162" t="s">
        <v>1185</v>
      </c>
      <c r="B54" s="162" t="s">
        <v>1347</v>
      </c>
      <c r="C54" s="162" t="s">
        <v>1167</v>
      </c>
      <c r="D54" s="162" t="s">
        <v>1383</v>
      </c>
      <c r="E54" s="162" t="s">
        <v>1345</v>
      </c>
      <c r="F54" s="162" t="s">
        <v>1347</v>
      </c>
      <c r="M54" s="162" t="s">
        <v>1348</v>
      </c>
      <c r="N54" s="162" t="s">
        <v>584</v>
      </c>
      <c r="O54" s="166">
        <v>43755</v>
      </c>
      <c r="P54" s="166">
        <v>43759</v>
      </c>
      <c r="Q54" s="166">
        <v>43758</v>
      </c>
      <c r="R54" s="167">
        <v>43764</v>
      </c>
      <c r="S54" s="164">
        <v>43</v>
      </c>
      <c r="T54" s="164">
        <v>1</v>
      </c>
      <c r="U54" s="85">
        <v>0</v>
      </c>
      <c r="V54" s="83">
        <v>1</v>
      </c>
      <c r="W54" s="169">
        <v>0</v>
      </c>
      <c r="X54" s="169">
        <v>0</v>
      </c>
      <c r="AA54" s="83">
        <v>0</v>
      </c>
    </row>
    <row r="55" spans="1:27">
      <c r="A55" s="162" t="s">
        <v>1203</v>
      </c>
      <c r="B55" s="162" t="s">
        <v>1352</v>
      </c>
      <c r="C55" s="162" t="s">
        <v>1167</v>
      </c>
      <c r="D55" s="162" t="s">
        <v>1383</v>
      </c>
      <c r="E55" s="162" t="s">
        <v>1345</v>
      </c>
      <c r="F55" s="162" t="s">
        <v>1349</v>
      </c>
      <c r="G55" s="162" t="s">
        <v>1351</v>
      </c>
      <c r="H55" s="162" t="s">
        <v>1352</v>
      </c>
      <c r="M55" s="162" t="s">
        <v>1353</v>
      </c>
      <c r="N55" s="162" t="s">
        <v>584</v>
      </c>
      <c r="O55" s="166">
        <v>43755</v>
      </c>
      <c r="P55" s="166">
        <v>43759</v>
      </c>
      <c r="Q55" s="166">
        <v>43751</v>
      </c>
      <c r="R55" s="167">
        <v>43757</v>
      </c>
      <c r="S55" s="164">
        <v>42</v>
      </c>
      <c r="T55" s="164">
        <v>2</v>
      </c>
      <c r="U55" s="85">
        <v>0</v>
      </c>
      <c r="V55" s="83">
        <v>1</v>
      </c>
      <c r="W55" s="169">
        <v>0</v>
      </c>
      <c r="X55" s="169">
        <v>0</v>
      </c>
      <c r="AA55" s="83">
        <v>0</v>
      </c>
    </row>
    <row r="56" spans="1:27">
      <c r="A56" s="162" t="s">
        <v>1203</v>
      </c>
      <c r="B56" s="162" t="s">
        <v>1352</v>
      </c>
      <c r="C56" s="162" t="s">
        <v>1167</v>
      </c>
      <c r="D56" s="162" t="s">
        <v>1383</v>
      </c>
      <c r="E56" s="162" t="s">
        <v>1345</v>
      </c>
      <c r="F56" s="162" t="s">
        <v>1349</v>
      </c>
      <c r="G56" s="162" t="s">
        <v>1351</v>
      </c>
      <c r="H56" s="162" t="s">
        <v>1352</v>
      </c>
      <c r="M56" s="162" t="s">
        <v>1353</v>
      </c>
      <c r="N56" s="162" t="s">
        <v>584</v>
      </c>
      <c r="O56" s="166">
        <v>43755</v>
      </c>
      <c r="P56" s="166">
        <v>43759</v>
      </c>
      <c r="Q56" s="166">
        <v>43758</v>
      </c>
      <c r="R56" s="167">
        <v>43764</v>
      </c>
      <c r="S56" s="164">
        <v>43</v>
      </c>
      <c r="T56" s="164">
        <v>1</v>
      </c>
      <c r="U56" s="85">
        <v>0</v>
      </c>
      <c r="V56" s="83">
        <v>1</v>
      </c>
      <c r="W56" s="169">
        <v>0</v>
      </c>
      <c r="X56" s="169">
        <v>0</v>
      </c>
      <c r="AA56" s="83">
        <v>0</v>
      </c>
    </row>
    <row r="57" spans="1:27">
      <c r="A57" s="162" t="s">
        <v>1203</v>
      </c>
      <c r="B57" s="162" t="s">
        <v>1354</v>
      </c>
      <c r="C57" s="162" t="s">
        <v>1167</v>
      </c>
      <c r="D57" s="162" t="s">
        <v>1383</v>
      </c>
      <c r="E57" s="162" t="s">
        <v>1345</v>
      </c>
      <c r="F57" s="162" t="s">
        <v>1349</v>
      </c>
      <c r="G57" s="162" t="s">
        <v>1351</v>
      </c>
      <c r="H57" s="162" t="s">
        <v>1354</v>
      </c>
      <c r="M57" s="162" t="s">
        <v>1355</v>
      </c>
      <c r="N57" s="162" t="s">
        <v>584</v>
      </c>
      <c r="O57" s="166">
        <v>43762</v>
      </c>
      <c r="P57" s="166">
        <v>43766</v>
      </c>
      <c r="Q57" s="166">
        <v>43758</v>
      </c>
      <c r="R57" s="167">
        <v>43764</v>
      </c>
      <c r="S57" s="164">
        <v>43</v>
      </c>
      <c r="T57" s="164">
        <v>2</v>
      </c>
      <c r="U57" s="85">
        <v>0</v>
      </c>
      <c r="V57" s="83">
        <v>1</v>
      </c>
      <c r="W57" s="169">
        <v>0</v>
      </c>
      <c r="X57" s="169">
        <v>0</v>
      </c>
      <c r="AA57" s="83">
        <v>0</v>
      </c>
    </row>
    <row r="58" spans="1:27">
      <c r="A58" s="162" t="s">
        <v>1203</v>
      </c>
      <c r="B58" s="162" t="s">
        <v>1354</v>
      </c>
      <c r="C58" s="162" t="s">
        <v>1167</v>
      </c>
      <c r="D58" s="162" t="s">
        <v>1383</v>
      </c>
      <c r="E58" s="162" t="s">
        <v>1345</v>
      </c>
      <c r="F58" s="162" t="s">
        <v>1349</v>
      </c>
      <c r="G58" s="162" t="s">
        <v>1351</v>
      </c>
      <c r="H58" s="162" t="s">
        <v>1354</v>
      </c>
      <c r="M58" s="162" t="s">
        <v>1355</v>
      </c>
      <c r="N58" s="162" t="s">
        <v>584</v>
      </c>
      <c r="O58" s="166">
        <v>43762</v>
      </c>
      <c r="P58" s="166">
        <v>43766</v>
      </c>
      <c r="Q58" s="166">
        <v>43765</v>
      </c>
      <c r="R58" s="167">
        <v>43771</v>
      </c>
      <c r="S58" s="164">
        <v>44</v>
      </c>
      <c r="T58" s="164">
        <v>1</v>
      </c>
      <c r="U58" s="85">
        <v>0</v>
      </c>
      <c r="V58" s="83">
        <v>1</v>
      </c>
      <c r="W58" s="169">
        <v>0</v>
      </c>
      <c r="X58" s="169">
        <v>0</v>
      </c>
      <c r="AA58" s="83">
        <v>0</v>
      </c>
    </row>
    <row r="59" spans="1:27">
      <c r="A59" s="162" t="s">
        <v>1203</v>
      </c>
      <c r="B59" s="162" t="s">
        <v>1356</v>
      </c>
      <c r="C59" s="162" t="s">
        <v>1167</v>
      </c>
      <c r="D59" s="162" t="s">
        <v>1383</v>
      </c>
      <c r="E59" s="162" t="s">
        <v>1345</v>
      </c>
      <c r="F59" s="162" t="s">
        <v>1349</v>
      </c>
      <c r="G59" s="162" t="s">
        <v>1351</v>
      </c>
      <c r="H59" s="162" t="s">
        <v>1356</v>
      </c>
      <c r="M59" s="162" t="s">
        <v>1357</v>
      </c>
      <c r="N59" s="162" t="s">
        <v>584</v>
      </c>
      <c r="O59" s="166">
        <v>43762</v>
      </c>
      <c r="P59" s="166">
        <v>43773</v>
      </c>
      <c r="Q59" s="166">
        <v>43758</v>
      </c>
      <c r="R59" s="167">
        <v>43764</v>
      </c>
      <c r="S59" s="164">
        <v>43</v>
      </c>
      <c r="T59" s="164">
        <v>2</v>
      </c>
      <c r="U59" s="85">
        <v>0</v>
      </c>
      <c r="V59" s="83">
        <v>1</v>
      </c>
      <c r="W59" s="169">
        <v>0</v>
      </c>
      <c r="X59" s="169">
        <v>0</v>
      </c>
      <c r="AA59" s="83">
        <v>0</v>
      </c>
    </row>
    <row r="60" spans="1:27">
      <c r="A60" s="162" t="s">
        <v>1203</v>
      </c>
      <c r="B60" s="162" t="s">
        <v>1356</v>
      </c>
      <c r="C60" s="162" t="s">
        <v>1167</v>
      </c>
      <c r="D60" s="162" t="s">
        <v>1383</v>
      </c>
      <c r="E60" s="162" t="s">
        <v>1345</v>
      </c>
      <c r="F60" s="162" t="s">
        <v>1349</v>
      </c>
      <c r="G60" s="162" t="s">
        <v>1351</v>
      </c>
      <c r="H60" s="162" t="s">
        <v>1356</v>
      </c>
      <c r="M60" s="162" t="s">
        <v>1357</v>
      </c>
      <c r="N60" s="162" t="s">
        <v>584</v>
      </c>
      <c r="O60" s="166">
        <v>43762</v>
      </c>
      <c r="P60" s="166">
        <v>43773</v>
      </c>
      <c r="Q60" s="166">
        <v>43765</v>
      </c>
      <c r="R60" s="167">
        <v>43771</v>
      </c>
      <c r="S60" s="164">
        <v>44</v>
      </c>
      <c r="T60" s="164">
        <v>5</v>
      </c>
      <c r="U60" s="85">
        <v>0</v>
      </c>
      <c r="V60" s="83">
        <v>1</v>
      </c>
      <c r="W60" s="169">
        <v>0</v>
      </c>
      <c r="X60" s="169">
        <v>0</v>
      </c>
      <c r="AA60" s="83">
        <v>0</v>
      </c>
    </row>
    <row r="61" spans="1:27">
      <c r="A61" s="162" t="s">
        <v>1203</v>
      </c>
      <c r="B61" s="162" t="s">
        <v>1356</v>
      </c>
      <c r="C61" s="162" t="s">
        <v>1167</v>
      </c>
      <c r="D61" s="162" t="s">
        <v>1383</v>
      </c>
      <c r="E61" s="162" t="s">
        <v>1345</v>
      </c>
      <c r="F61" s="162" t="s">
        <v>1349</v>
      </c>
      <c r="G61" s="162" t="s">
        <v>1351</v>
      </c>
      <c r="H61" s="162" t="s">
        <v>1356</v>
      </c>
      <c r="M61" s="162" t="s">
        <v>1357</v>
      </c>
      <c r="N61" s="162" t="s">
        <v>584</v>
      </c>
      <c r="O61" s="166">
        <v>43762</v>
      </c>
      <c r="P61" s="166">
        <v>43773</v>
      </c>
      <c r="Q61" s="166">
        <v>43772</v>
      </c>
      <c r="R61" s="167">
        <v>43778</v>
      </c>
      <c r="S61" s="164">
        <v>45</v>
      </c>
      <c r="T61" s="164">
        <v>1</v>
      </c>
      <c r="U61" s="85">
        <v>0</v>
      </c>
      <c r="V61" s="83">
        <v>1</v>
      </c>
      <c r="W61" s="169">
        <v>0</v>
      </c>
      <c r="X61" s="169">
        <v>0</v>
      </c>
      <c r="AA61" s="83">
        <v>0</v>
      </c>
    </row>
    <row r="62" spans="1:27">
      <c r="A62" s="162" t="s">
        <v>1202</v>
      </c>
      <c r="B62" s="162" t="s">
        <v>1358</v>
      </c>
      <c r="C62" s="162" t="s">
        <v>1167</v>
      </c>
      <c r="D62" s="162" t="s">
        <v>1383</v>
      </c>
      <c r="E62" s="162" t="s">
        <v>1345</v>
      </c>
      <c r="F62" s="162" t="s">
        <v>1349</v>
      </c>
      <c r="G62" s="162" t="s">
        <v>1358</v>
      </c>
      <c r="M62" s="162" t="s">
        <v>1359</v>
      </c>
      <c r="N62" s="162" t="s">
        <v>584</v>
      </c>
      <c r="O62" s="166">
        <v>43755</v>
      </c>
      <c r="P62" s="166">
        <v>43814</v>
      </c>
      <c r="Q62" s="166">
        <v>43751</v>
      </c>
      <c r="R62" s="167">
        <v>43757</v>
      </c>
      <c r="S62" s="164">
        <v>42</v>
      </c>
      <c r="T62" s="164">
        <v>2</v>
      </c>
      <c r="U62" s="85">
        <v>0</v>
      </c>
      <c r="V62" s="83">
        <v>1</v>
      </c>
      <c r="W62" s="169">
        <v>0</v>
      </c>
      <c r="X62" s="169">
        <v>0</v>
      </c>
      <c r="AA62" s="83">
        <v>0</v>
      </c>
    </row>
    <row r="63" spans="1:27">
      <c r="A63" s="162" t="s">
        <v>1202</v>
      </c>
      <c r="B63" s="162" t="s">
        <v>1358</v>
      </c>
      <c r="C63" s="162" t="s">
        <v>1167</v>
      </c>
      <c r="D63" s="162" t="s">
        <v>1383</v>
      </c>
      <c r="E63" s="162" t="s">
        <v>1345</v>
      </c>
      <c r="F63" s="162" t="s">
        <v>1349</v>
      </c>
      <c r="G63" s="162" t="s">
        <v>1358</v>
      </c>
      <c r="M63" s="162" t="s">
        <v>1359</v>
      </c>
      <c r="N63" s="162" t="s">
        <v>584</v>
      </c>
      <c r="O63" s="166">
        <v>43755</v>
      </c>
      <c r="P63" s="166">
        <v>43814</v>
      </c>
      <c r="Q63" s="166">
        <v>43758</v>
      </c>
      <c r="R63" s="167">
        <v>43764</v>
      </c>
      <c r="S63" s="164">
        <v>43</v>
      </c>
      <c r="T63" s="164">
        <v>5</v>
      </c>
      <c r="U63" s="85">
        <v>0</v>
      </c>
      <c r="V63" s="83">
        <v>1</v>
      </c>
      <c r="W63" s="169">
        <v>0</v>
      </c>
      <c r="X63" s="169">
        <v>0</v>
      </c>
      <c r="AA63" s="83">
        <v>0</v>
      </c>
    </row>
    <row r="64" spans="1:27">
      <c r="A64" s="162" t="s">
        <v>1202</v>
      </c>
      <c r="B64" s="162" t="s">
        <v>1358</v>
      </c>
      <c r="C64" s="162" t="s">
        <v>1167</v>
      </c>
      <c r="D64" s="162" t="s">
        <v>1383</v>
      </c>
      <c r="E64" s="162" t="s">
        <v>1345</v>
      </c>
      <c r="F64" s="162" t="s">
        <v>1349</v>
      </c>
      <c r="G64" s="162" t="s">
        <v>1358</v>
      </c>
      <c r="M64" s="162" t="s">
        <v>1359</v>
      </c>
      <c r="N64" s="162" t="s">
        <v>584</v>
      </c>
      <c r="O64" s="166">
        <v>43755</v>
      </c>
      <c r="P64" s="166">
        <v>43814</v>
      </c>
      <c r="Q64" s="166">
        <v>43765</v>
      </c>
      <c r="R64" s="167">
        <v>43771</v>
      </c>
      <c r="S64" s="164">
        <v>44</v>
      </c>
      <c r="T64" s="164">
        <v>5</v>
      </c>
      <c r="U64" s="85">
        <v>0</v>
      </c>
      <c r="V64" s="83">
        <v>1</v>
      </c>
      <c r="W64" s="169">
        <v>0</v>
      </c>
      <c r="X64" s="169">
        <v>0</v>
      </c>
      <c r="AA64" s="83">
        <v>0</v>
      </c>
    </row>
    <row r="65" spans="1:27">
      <c r="A65" s="162" t="s">
        <v>1202</v>
      </c>
      <c r="B65" s="162" t="s">
        <v>1358</v>
      </c>
      <c r="C65" s="162" t="s">
        <v>1167</v>
      </c>
      <c r="D65" s="162" t="s">
        <v>1383</v>
      </c>
      <c r="E65" s="162" t="s">
        <v>1345</v>
      </c>
      <c r="F65" s="162" t="s">
        <v>1349</v>
      </c>
      <c r="G65" s="162" t="s">
        <v>1358</v>
      </c>
      <c r="M65" s="162" t="s">
        <v>1359</v>
      </c>
      <c r="N65" s="162" t="s">
        <v>584</v>
      </c>
      <c r="O65" s="166">
        <v>43755</v>
      </c>
      <c r="P65" s="166">
        <v>43814</v>
      </c>
      <c r="Q65" s="166">
        <v>43772</v>
      </c>
      <c r="R65" s="167">
        <v>43778</v>
      </c>
      <c r="S65" s="164">
        <v>45</v>
      </c>
      <c r="T65" s="164">
        <v>5</v>
      </c>
      <c r="U65" s="85">
        <v>0</v>
      </c>
      <c r="V65" s="83">
        <v>1</v>
      </c>
      <c r="W65" s="169">
        <v>0</v>
      </c>
      <c r="X65" s="169">
        <v>0</v>
      </c>
      <c r="AA65" s="83">
        <v>0</v>
      </c>
    </row>
    <row r="66" spans="1:27">
      <c r="A66" s="162" t="s">
        <v>1202</v>
      </c>
      <c r="B66" s="162" t="s">
        <v>1358</v>
      </c>
      <c r="C66" s="162" t="s">
        <v>1167</v>
      </c>
      <c r="D66" s="162" t="s">
        <v>1383</v>
      </c>
      <c r="E66" s="162" t="s">
        <v>1345</v>
      </c>
      <c r="F66" s="162" t="s">
        <v>1349</v>
      </c>
      <c r="G66" s="162" t="s">
        <v>1358</v>
      </c>
      <c r="M66" s="162" t="s">
        <v>1359</v>
      </c>
      <c r="N66" s="162" t="s">
        <v>584</v>
      </c>
      <c r="O66" s="166">
        <v>43755</v>
      </c>
      <c r="P66" s="166">
        <v>43814</v>
      </c>
      <c r="Q66" s="166">
        <v>43779</v>
      </c>
      <c r="R66" s="167">
        <v>43785</v>
      </c>
      <c r="S66" s="164">
        <v>46</v>
      </c>
      <c r="T66" s="164">
        <v>5</v>
      </c>
      <c r="U66" s="85">
        <v>0</v>
      </c>
      <c r="V66" s="83">
        <v>1</v>
      </c>
      <c r="W66" s="169">
        <v>0</v>
      </c>
      <c r="X66" s="169">
        <v>0</v>
      </c>
      <c r="AA66" s="83">
        <v>0</v>
      </c>
    </row>
    <row r="67" spans="1:27">
      <c r="A67" s="162" t="s">
        <v>1202</v>
      </c>
      <c r="B67" s="162" t="s">
        <v>1358</v>
      </c>
      <c r="C67" s="162" t="s">
        <v>1167</v>
      </c>
      <c r="D67" s="162" t="s">
        <v>1383</v>
      </c>
      <c r="E67" s="162" t="s">
        <v>1345</v>
      </c>
      <c r="F67" s="162" t="s">
        <v>1349</v>
      </c>
      <c r="G67" s="162" t="s">
        <v>1358</v>
      </c>
      <c r="M67" s="162" t="s">
        <v>1359</v>
      </c>
      <c r="N67" s="162" t="s">
        <v>584</v>
      </c>
      <c r="O67" s="166">
        <v>43755</v>
      </c>
      <c r="P67" s="166">
        <v>43814</v>
      </c>
      <c r="Q67" s="166">
        <v>43786</v>
      </c>
      <c r="R67" s="167">
        <v>43792</v>
      </c>
      <c r="S67" s="164">
        <v>47</v>
      </c>
      <c r="T67" s="164">
        <v>5</v>
      </c>
      <c r="U67" s="85">
        <v>0</v>
      </c>
      <c r="V67" s="83">
        <v>1</v>
      </c>
      <c r="W67" s="169">
        <v>0</v>
      </c>
      <c r="X67" s="169">
        <v>0</v>
      </c>
      <c r="AA67" s="83">
        <v>0</v>
      </c>
    </row>
    <row r="68" spans="1:27">
      <c r="A68" s="162" t="s">
        <v>1202</v>
      </c>
      <c r="B68" s="162" t="s">
        <v>1358</v>
      </c>
      <c r="C68" s="162" t="s">
        <v>1167</v>
      </c>
      <c r="D68" s="162" t="s">
        <v>1383</v>
      </c>
      <c r="E68" s="162" t="s">
        <v>1345</v>
      </c>
      <c r="F68" s="162" t="s">
        <v>1349</v>
      </c>
      <c r="G68" s="162" t="s">
        <v>1358</v>
      </c>
      <c r="M68" s="162" t="s">
        <v>1359</v>
      </c>
      <c r="N68" s="162" t="s">
        <v>584</v>
      </c>
      <c r="O68" s="166">
        <v>43755</v>
      </c>
      <c r="P68" s="166">
        <v>43814</v>
      </c>
      <c r="Q68" s="166">
        <v>43793</v>
      </c>
      <c r="R68" s="167">
        <v>43799</v>
      </c>
      <c r="S68" s="164">
        <v>48</v>
      </c>
      <c r="T68" s="164">
        <v>5</v>
      </c>
      <c r="U68" s="85">
        <v>0</v>
      </c>
      <c r="V68" s="83">
        <v>1</v>
      </c>
      <c r="W68" s="169">
        <v>0</v>
      </c>
      <c r="X68" s="169">
        <v>0</v>
      </c>
      <c r="AA68" s="83">
        <v>0</v>
      </c>
    </row>
    <row r="69" spans="1:27">
      <c r="A69" s="162" t="s">
        <v>1202</v>
      </c>
      <c r="B69" s="162" t="s">
        <v>1358</v>
      </c>
      <c r="C69" s="162" t="s">
        <v>1167</v>
      </c>
      <c r="D69" s="162" t="s">
        <v>1383</v>
      </c>
      <c r="E69" s="162" t="s">
        <v>1345</v>
      </c>
      <c r="F69" s="162" t="s">
        <v>1349</v>
      </c>
      <c r="G69" s="162" t="s">
        <v>1358</v>
      </c>
      <c r="M69" s="162" t="s">
        <v>1359</v>
      </c>
      <c r="N69" s="162" t="s">
        <v>584</v>
      </c>
      <c r="O69" s="166">
        <v>43755</v>
      </c>
      <c r="P69" s="166">
        <v>43814</v>
      </c>
      <c r="Q69" s="166">
        <v>43800</v>
      </c>
      <c r="R69" s="167">
        <v>43806</v>
      </c>
      <c r="S69" s="164">
        <v>49</v>
      </c>
      <c r="T69" s="164">
        <v>5</v>
      </c>
      <c r="U69" s="85">
        <v>0</v>
      </c>
      <c r="V69" s="83">
        <v>1</v>
      </c>
      <c r="W69" s="169">
        <v>0</v>
      </c>
      <c r="X69" s="169">
        <v>0</v>
      </c>
      <c r="AA69" s="83">
        <v>0</v>
      </c>
    </row>
    <row r="70" spans="1:27">
      <c r="A70" s="162" t="s">
        <v>1202</v>
      </c>
      <c r="B70" s="162" t="s">
        <v>1358</v>
      </c>
      <c r="C70" s="162" t="s">
        <v>1167</v>
      </c>
      <c r="D70" s="162" t="s">
        <v>1383</v>
      </c>
      <c r="E70" s="162" t="s">
        <v>1345</v>
      </c>
      <c r="F70" s="162" t="s">
        <v>1349</v>
      </c>
      <c r="G70" s="162" t="s">
        <v>1358</v>
      </c>
      <c r="M70" s="162" t="s">
        <v>1359</v>
      </c>
      <c r="N70" s="162" t="s">
        <v>584</v>
      </c>
      <c r="O70" s="166">
        <v>43755</v>
      </c>
      <c r="P70" s="166">
        <v>43814</v>
      </c>
      <c r="Q70" s="166">
        <v>43807</v>
      </c>
      <c r="R70" s="167">
        <v>43813</v>
      </c>
      <c r="S70" s="164">
        <v>50</v>
      </c>
      <c r="T70" s="164">
        <v>5</v>
      </c>
      <c r="U70" s="85">
        <v>0</v>
      </c>
      <c r="V70" s="83">
        <v>1</v>
      </c>
      <c r="W70" s="169">
        <v>0</v>
      </c>
      <c r="X70" s="169">
        <v>0</v>
      </c>
      <c r="AA70" s="83">
        <v>0</v>
      </c>
    </row>
    <row r="71" spans="1:27">
      <c r="A71" s="162" t="s">
        <v>1202</v>
      </c>
      <c r="B71" s="162" t="s">
        <v>1358</v>
      </c>
      <c r="C71" s="162" t="s">
        <v>1167</v>
      </c>
      <c r="D71" s="162" t="s">
        <v>1383</v>
      </c>
      <c r="E71" s="162" t="s">
        <v>1345</v>
      </c>
      <c r="F71" s="162" t="s">
        <v>1349</v>
      </c>
      <c r="G71" s="162" t="s">
        <v>1358</v>
      </c>
      <c r="M71" s="162" t="s">
        <v>1359</v>
      </c>
      <c r="N71" s="162" t="s">
        <v>584</v>
      </c>
      <c r="O71" s="166">
        <v>43755</v>
      </c>
      <c r="P71" s="166">
        <v>43814</v>
      </c>
      <c r="Q71" s="166">
        <v>43814</v>
      </c>
      <c r="R71" s="167">
        <v>43820</v>
      </c>
      <c r="S71" s="164">
        <v>51</v>
      </c>
      <c r="T71" s="164">
        <v>0</v>
      </c>
      <c r="U71" s="85">
        <v>0</v>
      </c>
      <c r="V71" s="83">
        <v>1</v>
      </c>
      <c r="W71" s="169">
        <v>0</v>
      </c>
      <c r="X71" s="169">
        <v>0</v>
      </c>
      <c r="AA71" s="83">
        <v>0</v>
      </c>
    </row>
    <row r="72" spans="1:27">
      <c r="A72" s="162" t="s">
        <v>1202</v>
      </c>
      <c r="B72" s="162" t="s">
        <v>1360</v>
      </c>
      <c r="C72" s="162" t="s">
        <v>1167</v>
      </c>
      <c r="D72" s="162" t="s">
        <v>1383</v>
      </c>
      <c r="E72" s="162" t="s">
        <v>1345</v>
      </c>
      <c r="F72" s="162" t="s">
        <v>1349</v>
      </c>
      <c r="G72" s="162" t="s">
        <v>1360</v>
      </c>
      <c r="M72" s="162" t="s">
        <v>1361</v>
      </c>
      <c r="N72" s="162" t="s">
        <v>584</v>
      </c>
      <c r="O72" s="166">
        <v>43755</v>
      </c>
      <c r="P72" s="166">
        <v>43814</v>
      </c>
      <c r="Q72" s="166">
        <v>43751</v>
      </c>
      <c r="R72" s="167">
        <v>43757</v>
      </c>
      <c r="S72" s="164">
        <v>42</v>
      </c>
      <c r="T72" s="164">
        <v>2</v>
      </c>
      <c r="U72" s="85">
        <v>0</v>
      </c>
      <c r="V72" s="83">
        <v>1</v>
      </c>
      <c r="W72" s="169">
        <v>0</v>
      </c>
      <c r="X72" s="169">
        <v>0</v>
      </c>
      <c r="AA72" s="83">
        <v>0</v>
      </c>
    </row>
    <row r="73" spans="1:27">
      <c r="A73" s="162" t="s">
        <v>1202</v>
      </c>
      <c r="B73" s="162" t="s">
        <v>1360</v>
      </c>
      <c r="C73" s="162" t="s">
        <v>1167</v>
      </c>
      <c r="D73" s="162" t="s">
        <v>1383</v>
      </c>
      <c r="E73" s="162" t="s">
        <v>1345</v>
      </c>
      <c r="F73" s="162" t="s">
        <v>1349</v>
      </c>
      <c r="G73" s="162" t="s">
        <v>1360</v>
      </c>
      <c r="M73" s="162" t="s">
        <v>1361</v>
      </c>
      <c r="N73" s="162" t="s">
        <v>584</v>
      </c>
      <c r="O73" s="166">
        <v>43755</v>
      </c>
      <c r="P73" s="166">
        <v>43814</v>
      </c>
      <c r="Q73" s="166">
        <v>43758</v>
      </c>
      <c r="R73" s="167">
        <v>43764</v>
      </c>
      <c r="S73" s="164">
        <v>43</v>
      </c>
      <c r="T73" s="164">
        <v>5</v>
      </c>
      <c r="U73" s="85">
        <v>0</v>
      </c>
      <c r="V73" s="83">
        <v>1</v>
      </c>
      <c r="W73" s="169">
        <v>0</v>
      </c>
      <c r="X73" s="169">
        <v>0</v>
      </c>
      <c r="AA73" s="83">
        <v>0</v>
      </c>
    </row>
    <row r="74" spans="1:27">
      <c r="A74" s="162" t="s">
        <v>1202</v>
      </c>
      <c r="B74" s="162" t="s">
        <v>1360</v>
      </c>
      <c r="C74" s="162" t="s">
        <v>1167</v>
      </c>
      <c r="D74" s="162" t="s">
        <v>1383</v>
      </c>
      <c r="E74" s="162" t="s">
        <v>1345</v>
      </c>
      <c r="F74" s="162" t="s">
        <v>1349</v>
      </c>
      <c r="G74" s="162" t="s">
        <v>1360</v>
      </c>
      <c r="M74" s="162" t="s">
        <v>1361</v>
      </c>
      <c r="N74" s="162" t="s">
        <v>584</v>
      </c>
      <c r="O74" s="166">
        <v>43755</v>
      </c>
      <c r="P74" s="166">
        <v>43814</v>
      </c>
      <c r="Q74" s="166">
        <v>43765</v>
      </c>
      <c r="R74" s="167">
        <v>43771</v>
      </c>
      <c r="S74" s="164">
        <v>44</v>
      </c>
      <c r="T74" s="164">
        <v>5</v>
      </c>
      <c r="U74" s="85">
        <v>0</v>
      </c>
      <c r="V74" s="83">
        <v>1</v>
      </c>
      <c r="W74" s="169">
        <v>0</v>
      </c>
      <c r="X74" s="169">
        <v>0</v>
      </c>
      <c r="AA74" s="83">
        <v>0</v>
      </c>
    </row>
    <row r="75" spans="1:27">
      <c r="A75" s="162" t="s">
        <v>1202</v>
      </c>
      <c r="B75" s="162" t="s">
        <v>1360</v>
      </c>
      <c r="C75" s="162" t="s">
        <v>1167</v>
      </c>
      <c r="D75" s="162" t="s">
        <v>1383</v>
      </c>
      <c r="E75" s="162" t="s">
        <v>1345</v>
      </c>
      <c r="F75" s="162" t="s">
        <v>1349</v>
      </c>
      <c r="G75" s="162" t="s">
        <v>1360</v>
      </c>
      <c r="M75" s="162" t="s">
        <v>1361</v>
      </c>
      <c r="N75" s="162" t="s">
        <v>584</v>
      </c>
      <c r="O75" s="166">
        <v>43755</v>
      </c>
      <c r="P75" s="166">
        <v>43814</v>
      </c>
      <c r="Q75" s="166">
        <v>43772</v>
      </c>
      <c r="R75" s="167">
        <v>43778</v>
      </c>
      <c r="S75" s="164">
        <v>45</v>
      </c>
      <c r="T75" s="164">
        <v>5</v>
      </c>
      <c r="U75" s="85">
        <v>0</v>
      </c>
      <c r="V75" s="83">
        <v>1</v>
      </c>
      <c r="W75" s="169">
        <v>0</v>
      </c>
      <c r="X75" s="169">
        <v>0</v>
      </c>
      <c r="AA75" s="83">
        <v>0</v>
      </c>
    </row>
    <row r="76" spans="1:27">
      <c r="A76" s="162" t="s">
        <v>1202</v>
      </c>
      <c r="B76" s="162" t="s">
        <v>1360</v>
      </c>
      <c r="C76" s="162" t="s">
        <v>1167</v>
      </c>
      <c r="D76" s="162" t="s">
        <v>1383</v>
      </c>
      <c r="E76" s="162" t="s">
        <v>1345</v>
      </c>
      <c r="F76" s="162" t="s">
        <v>1349</v>
      </c>
      <c r="G76" s="162" t="s">
        <v>1360</v>
      </c>
      <c r="M76" s="162" t="s">
        <v>1361</v>
      </c>
      <c r="N76" s="162" t="s">
        <v>584</v>
      </c>
      <c r="O76" s="166">
        <v>43755</v>
      </c>
      <c r="P76" s="166">
        <v>43814</v>
      </c>
      <c r="Q76" s="166">
        <v>43779</v>
      </c>
      <c r="R76" s="167">
        <v>43785</v>
      </c>
      <c r="S76" s="164">
        <v>46</v>
      </c>
      <c r="T76" s="164">
        <v>5</v>
      </c>
      <c r="U76" s="85">
        <v>0</v>
      </c>
      <c r="V76" s="83">
        <v>1</v>
      </c>
      <c r="W76" s="169">
        <v>0</v>
      </c>
      <c r="X76" s="169">
        <v>0</v>
      </c>
      <c r="AA76" s="83">
        <v>0</v>
      </c>
    </row>
    <row r="77" spans="1:27">
      <c r="A77" s="162" t="s">
        <v>1202</v>
      </c>
      <c r="B77" s="162" t="s">
        <v>1360</v>
      </c>
      <c r="C77" s="162" t="s">
        <v>1167</v>
      </c>
      <c r="D77" s="162" t="s">
        <v>1383</v>
      </c>
      <c r="E77" s="162" t="s">
        <v>1345</v>
      </c>
      <c r="F77" s="162" t="s">
        <v>1349</v>
      </c>
      <c r="G77" s="162" t="s">
        <v>1360</v>
      </c>
      <c r="M77" s="162" t="s">
        <v>1361</v>
      </c>
      <c r="N77" s="162" t="s">
        <v>584</v>
      </c>
      <c r="O77" s="166">
        <v>43755</v>
      </c>
      <c r="P77" s="166">
        <v>43814</v>
      </c>
      <c r="Q77" s="166">
        <v>43786</v>
      </c>
      <c r="R77" s="167">
        <v>43792</v>
      </c>
      <c r="S77" s="164">
        <v>47</v>
      </c>
      <c r="T77" s="164">
        <v>5</v>
      </c>
      <c r="U77" s="85">
        <v>0</v>
      </c>
      <c r="V77" s="83">
        <v>1</v>
      </c>
      <c r="W77" s="169">
        <v>0</v>
      </c>
      <c r="X77" s="169">
        <v>0</v>
      </c>
      <c r="AA77" s="83">
        <v>0</v>
      </c>
    </row>
    <row r="78" spans="1:27">
      <c r="A78" s="162" t="s">
        <v>1202</v>
      </c>
      <c r="B78" s="162" t="s">
        <v>1360</v>
      </c>
      <c r="C78" s="162" t="s">
        <v>1167</v>
      </c>
      <c r="D78" s="162" t="s">
        <v>1383</v>
      </c>
      <c r="E78" s="162" t="s">
        <v>1345</v>
      </c>
      <c r="F78" s="162" t="s">
        <v>1349</v>
      </c>
      <c r="G78" s="162" t="s">
        <v>1360</v>
      </c>
      <c r="M78" s="162" t="s">
        <v>1361</v>
      </c>
      <c r="N78" s="162" t="s">
        <v>584</v>
      </c>
      <c r="O78" s="166">
        <v>43755</v>
      </c>
      <c r="P78" s="166">
        <v>43814</v>
      </c>
      <c r="Q78" s="166">
        <v>43793</v>
      </c>
      <c r="R78" s="167">
        <v>43799</v>
      </c>
      <c r="S78" s="164">
        <v>48</v>
      </c>
      <c r="T78" s="164">
        <v>5</v>
      </c>
      <c r="U78" s="85">
        <v>0</v>
      </c>
      <c r="V78" s="83">
        <v>1</v>
      </c>
      <c r="W78" s="169">
        <v>0</v>
      </c>
      <c r="X78" s="169">
        <v>0</v>
      </c>
      <c r="AA78" s="83">
        <v>0</v>
      </c>
    </row>
    <row r="79" spans="1:27">
      <c r="A79" s="162" t="s">
        <v>1202</v>
      </c>
      <c r="B79" s="162" t="s">
        <v>1360</v>
      </c>
      <c r="C79" s="162" t="s">
        <v>1167</v>
      </c>
      <c r="D79" s="162" t="s">
        <v>1383</v>
      </c>
      <c r="E79" s="162" t="s">
        <v>1345</v>
      </c>
      <c r="F79" s="162" t="s">
        <v>1349</v>
      </c>
      <c r="G79" s="162" t="s">
        <v>1360</v>
      </c>
      <c r="M79" s="162" t="s">
        <v>1361</v>
      </c>
      <c r="N79" s="162" t="s">
        <v>584</v>
      </c>
      <c r="O79" s="166">
        <v>43755</v>
      </c>
      <c r="P79" s="166">
        <v>43814</v>
      </c>
      <c r="Q79" s="166">
        <v>43800</v>
      </c>
      <c r="R79" s="167">
        <v>43806</v>
      </c>
      <c r="S79" s="164">
        <v>49</v>
      </c>
      <c r="T79" s="164">
        <v>5</v>
      </c>
      <c r="U79" s="85">
        <v>0</v>
      </c>
      <c r="V79" s="83">
        <v>1</v>
      </c>
      <c r="W79" s="169">
        <v>0</v>
      </c>
      <c r="X79" s="169">
        <v>0</v>
      </c>
      <c r="AA79" s="83">
        <v>0</v>
      </c>
    </row>
    <row r="80" spans="1:27">
      <c r="A80" s="162" t="s">
        <v>1202</v>
      </c>
      <c r="B80" s="162" t="s">
        <v>1360</v>
      </c>
      <c r="C80" s="162" t="s">
        <v>1167</v>
      </c>
      <c r="D80" s="162" t="s">
        <v>1383</v>
      </c>
      <c r="E80" s="162" t="s">
        <v>1345</v>
      </c>
      <c r="F80" s="162" t="s">
        <v>1349</v>
      </c>
      <c r="G80" s="162" t="s">
        <v>1360</v>
      </c>
      <c r="M80" s="162" t="s">
        <v>1361</v>
      </c>
      <c r="N80" s="162" t="s">
        <v>584</v>
      </c>
      <c r="O80" s="166">
        <v>43755</v>
      </c>
      <c r="P80" s="166">
        <v>43814</v>
      </c>
      <c r="Q80" s="166">
        <v>43807</v>
      </c>
      <c r="R80" s="167">
        <v>43813</v>
      </c>
      <c r="S80" s="164">
        <v>50</v>
      </c>
      <c r="T80" s="164">
        <v>5</v>
      </c>
      <c r="U80" s="85">
        <v>0</v>
      </c>
      <c r="V80" s="83">
        <v>1</v>
      </c>
      <c r="W80" s="169">
        <v>0</v>
      </c>
      <c r="X80" s="169">
        <v>0</v>
      </c>
      <c r="AA80" s="83">
        <v>0</v>
      </c>
    </row>
    <row r="81" spans="1:27">
      <c r="A81" s="162" t="s">
        <v>1202</v>
      </c>
      <c r="B81" s="162" t="s">
        <v>1360</v>
      </c>
      <c r="C81" s="162" t="s">
        <v>1167</v>
      </c>
      <c r="D81" s="162" t="s">
        <v>1383</v>
      </c>
      <c r="E81" s="162" t="s">
        <v>1345</v>
      </c>
      <c r="F81" s="162" t="s">
        <v>1349</v>
      </c>
      <c r="G81" s="162" t="s">
        <v>1360</v>
      </c>
      <c r="M81" s="162" t="s">
        <v>1361</v>
      </c>
      <c r="N81" s="162" t="s">
        <v>584</v>
      </c>
      <c r="O81" s="166">
        <v>43755</v>
      </c>
      <c r="P81" s="166">
        <v>43814</v>
      </c>
      <c r="Q81" s="166">
        <v>43814</v>
      </c>
      <c r="R81" s="167">
        <v>43820</v>
      </c>
      <c r="S81" s="164">
        <v>51</v>
      </c>
      <c r="T81" s="164">
        <v>0</v>
      </c>
      <c r="U81" s="85">
        <v>0</v>
      </c>
      <c r="V81" s="83">
        <v>1</v>
      </c>
      <c r="W81" s="169">
        <v>0</v>
      </c>
      <c r="X81" s="169">
        <v>0</v>
      </c>
      <c r="AA81" s="83">
        <v>0</v>
      </c>
    </row>
    <row r="82" spans="1:27">
      <c r="A82" s="162" t="s">
        <v>1202</v>
      </c>
      <c r="B82" s="162" t="s">
        <v>1362</v>
      </c>
      <c r="C82" s="162" t="s">
        <v>1167</v>
      </c>
      <c r="D82" s="162" t="s">
        <v>1383</v>
      </c>
      <c r="E82" s="162" t="s">
        <v>1345</v>
      </c>
      <c r="F82" s="162" t="s">
        <v>1349</v>
      </c>
      <c r="G82" s="162" t="s">
        <v>1362</v>
      </c>
      <c r="M82" s="162" t="s">
        <v>1363</v>
      </c>
      <c r="N82" s="162" t="s">
        <v>584</v>
      </c>
      <c r="O82" s="166">
        <v>43769</v>
      </c>
      <c r="P82" s="166">
        <v>43814</v>
      </c>
      <c r="Q82" s="166">
        <v>43765</v>
      </c>
      <c r="R82" s="167">
        <v>43771</v>
      </c>
      <c r="S82" s="164">
        <v>44</v>
      </c>
      <c r="T82" s="164">
        <v>2</v>
      </c>
      <c r="U82" s="85">
        <v>0</v>
      </c>
      <c r="V82" s="83">
        <v>1</v>
      </c>
      <c r="W82" s="169">
        <v>0</v>
      </c>
      <c r="X82" s="169">
        <v>0</v>
      </c>
      <c r="AA82" s="83">
        <v>0</v>
      </c>
    </row>
    <row r="83" spans="1:27">
      <c r="A83" s="162" t="s">
        <v>1202</v>
      </c>
      <c r="B83" s="162" t="s">
        <v>1362</v>
      </c>
      <c r="C83" s="162" t="s">
        <v>1167</v>
      </c>
      <c r="D83" s="162" t="s">
        <v>1383</v>
      </c>
      <c r="E83" s="162" t="s">
        <v>1345</v>
      </c>
      <c r="F83" s="162" t="s">
        <v>1349</v>
      </c>
      <c r="G83" s="162" t="s">
        <v>1362</v>
      </c>
      <c r="M83" s="162" t="s">
        <v>1363</v>
      </c>
      <c r="N83" s="162" t="s">
        <v>584</v>
      </c>
      <c r="O83" s="166">
        <v>43769</v>
      </c>
      <c r="P83" s="166">
        <v>43814</v>
      </c>
      <c r="Q83" s="166">
        <v>43772</v>
      </c>
      <c r="R83" s="167">
        <v>43778</v>
      </c>
      <c r="S83" s="164">
        <v>45</v>
      </c>
      <c r="T83" s="164">
        <v>5</v>
      </c>
      <c r="U83" s="85">
        <v>0</v>
      </c>
      <c r="V83" s="83">
        <v>1</v>
      </c>
      <c r="W83" s="169">
        <v>0</v>
      </c>
      <c r="X83" s="169">
        <v>0</v>
      </c>
      <c r="AA83" s="83">
        <v>0</v>
      </c>
    </row>
    <row r="84" spans="1:27">
      <c r="A84" s="162" t="s">
        <v>1202</v>
      </c>
      <c r="B84" s="162" t="s">
        <v>1362</v>
      </c>
      <c r="C84" s="162" t="s">
        <v>1167</v>
      </c>
      <c r="D84" s="162" t="s">
        <v>1383</v>
      </c>
      <c r="E84" s="162" t="s">
        <v>1345</v>
      </c>
      <c r="F84" s="162" t="s">
        <v>1349</v>
      </c>
      <c r="G84" s="162" t="s">
        <v>1362</v>
      </c>
      <c r="M84" s="162" t="s">
        <v>1363</v>
      </c>
      <c r="N84" s="162" t="s">
        <v>584</v>
      </c>
      <c r="O84" s="166">
        <v>43769</v>
      </c>
      <c r="P84" s="166">
        <v>43814</v>
      </c>
      <c r="Q84" s="166">
        <v>43779</v>
      </c>
      <c r="R84" s="167">
        <v>43785</v>
      </c>
      <c r="S84" s="164">
        <v>46</v>
      </c>
      <c r="T84" s="164">
        <v>5</v>
      </c>
      <c r="U84" s="85">
        <v>0</v>
      </c>
      <c r="V84" s="83">
        <v>1</v>
      </c>
      <c r="W84" s="169">
        <v>0</v>
      </c>
      <c r="X84" s="169">
        <v>0</v>
      </c>
      <c r="AA84" s="83">
        <v>0</v>
      </c>
    </row>
    <row r="85" spans="1:27">
      <c r="A85" s="162" t="s">
        <v>1202</v>
      </c>
      <c r="B85" s="162" t="s">
        <v>1362</v>
      </c>
      <c r="C85" s="162" t="s">
        <v>1167</v>
      </c>
      <c r="D85" s="162" t="s">
        <v>1383</v>
      </c>
      <c r="E85" s="162" t="s">
        <v>1345</v>
      </c>
      <c r="F85" s="162" t="s">
        <v>1349</v>
      </c>
      <c r="G85" s="162" t="s">
        <v>1362</v>
      </c>
      <c r="M85" s="162" t="s">
        <v>1363</v>
      </c>
      <c r="N85" s="162" t="s">
        <v>584</v>
      </c>
      <c r="O85" s="166">
        <v>43769</v>
      </c>
      <c r="P85" s="166">
        <v>43814</v>
      </c>
      <c r="Q85" s="166">
        <v>43786</v>
      </c>
      <c r="R85" s="167">
        <v>43792</v>
      </c>
      <c r="S85" s="164">
        <v>47</v>
      </c>
      <c r="T85" s="164">
        <v>5</v>
      </c>
      <c r="U85" s="85">
        <v>0</v>
      </c>
      <c r="V85" s="83">
        <v>1</v>
      </c>
      <c r="W85" s="169">
        <v>0</v>
      </c>
      <c r="X85" s="169">
        <v>0</v>
      </c>
      <c r="AA85" s="83">
        <v>0</v>
      </c>
    </row>
    <row r="86" spans="1:27">
      <c r="A86" s="162" t="s">
        <v>1202</v>
      </c>
      <c r="B86" s="162" t="s">
        <v>1362</v>
      </c>
      <c r="C86" s="162" t="s">
        <v>1167</v>
      </c>
      <c r="D86" s="162" t="s">
        <v>1383</v>
      </c>
      <c r="E86" s="162" t="s">
        <v>1345</v>
      </c>
      <c r="F86" s="162" t="s">
        <v>1349</v>
      </c>
      <c r="G86" s="162" t="s">
        <v>1362</v>
      </c>
      <c r="M86" s="162" t="s">
        <v>1363</v>
      </c>
      <c r="N86" s="162" t="s">
        <v>584</v>
      </c>
      <c r="O86" s="166">
        <v>43769</v>
      </c>
      <c r="P86" s="166">
        <v>43814</v>
      </c>
      <c r="Q86" s="166">
        <v>43793</v>
      </c>
      <c r="R86" s="167">
        <v>43799</v>
      </c>
      <c r="S86" s="164">
        <v>48</v>
      </c>
      <c r="T86" s="164">
        <v>5</v>
      </c>
      <c r="U86" s="85">
        <v>0</v>
      </c>
      <c r="V86" s="83">
        <v>1</v>
      </c>
      <c r="W86" s="169">
        <v>0</v>
      </c>
      <c r="X86" s="169">
        <v>0</v>
      </c>
      <c r="AA86" s="83">
        <v>0</v>
      </c>
    </row>
    <row r="87" spans="1:27">
      <c r="A87" s="162" t="s">
        <v>1202</v>
      </c>
      <c r="B87" s="162" t="s">
        <v>1362</v>
      </c>
      <c r="C87" s="162" t="s">
        <v>1167</v>
      </c>
      <c r="D87" s="162" t="s">
        <v>1383</v>
      </c>
      <c r="E87" s="162" t="s">
        <v>1345</v>
      </c>
      <c r="F87" s="162" t="s">
        <v>1349</v>
      </c>
      <c r="G87" s="162" t="s">
        <v>1362</v>
      </c>
      <c r="M87" s="162" t="s">
        <v>1363</v>
      </c>
      <c r="N87" s="162" t="s">
        <v>584</v>
      </c>
      <c r="O87" s="166">
        <v>43769</v>
      </c>
      <c r="P87" s="166">
        <v>43814</v>
      </c>
      <c r="Q87" s="166">
        <v>43800</v>
      </c>
      <c r="R87" s="167">
        <v>43806</v>
      </c>
      <c r="S87" s="164">
        <v>49</v>
      </c>
      <c r="T87" s="164">
        <v>5</v>
      </c>
      <c r="U87" s="85">
        <v>0</v>
      </c>
      <c r="V87" s="83">
        <v>1</v>
      </c>
      <c r="W87" s="169">
        <v>0</v>
      </c>
      <c r="X87" s="169">
        <v>0</v>
      </c>
      <c r="AA87" s="83">
        <v>0</v>
      </c>
    </row>
    <row r="88" spans="1:27">
      <c r="A88" s="162" t="s">
        <v>1202</v>
      </c>
      <c r="B88" s="162" t="s">
        <v>1362</v>
      </c>
      <c r="C88" s="162" t="s">
        <v>1167</v>
      </c>
      <c r="D88" s="162" t="s">
        <v>1383</v>
      </c>
      <c r="E88" s="162" t="s">
        <v>1345</v>
      </c>
      <c r="F88" s="162" t="s">
        <v>1349</v>
      </c>
      <c r="G88" s="162" t="s">
        <v>1362</v>
      </c>
      <c r="M88" s="162" t="s">
        <v>1363</v>
      </c>
      <c r="N88" s="162" t="s">
        <v>584</v>
      </c>
      <c r="O88" s="166">
        <v>43769</v>
      </c>
      <c r="P88" s="166">
        <v>43814</v>
      </c>
      <c r="Q88" s="166">
        <v>43807</v>
      </c>
      <c r="R88" s="167">
        <v>43813</v>
      </c>
      <c r="S88" s="164">
        <v>50</v>
      </c>
      <c r="T88" s="164">
        <v>5</v>
      </c>
      <c r="U88" s="85">
        <v>0</v>
      </c>
      <c r="V88" s="83">
        <v>1</v>
      </c>
      <c r="W88" s="169">
        <v>0</v>
      </c>
      <c r="X88" s="169">
        <v>0</v>
      </c>
      <c r="AA88" s="83">
        <v>0</v>
      </c>
    </row>
    <row r="89" spans="1:27">
      <c r="A89" s="162" t="s">
        <v>1202</v>
      </c>
      <c r="B89" s="162" t="s">
        <v>1362</v>
      </c>
      <c r="C89" s="162" t="s">
        <v>1167</v>
      </c>
      <c r="D89" s="162" t="s">
        <v>1383</v>
      </c>
      <c r="E89" s="162" t="s">
        <v>1345</v>
      </c>
      <c r="F89" s="162" t="s">
        <v>1349</v>
      </c>
      <c r="G89" s="162" t="s">
        <v>1362</v>
      </c>
      <c r="M89" s="162" t="s">
        <v>1363</v>
      </c>
      <c r="N89" s="162" t="s">
        <v>584</v>
      </c>
      <c r="O89" s="166">
        <v>43769</v>
      </c>
      <c r="P89" s="166">
        <v>43814</v>
      </c>
      <c r="Q89" s="166">
        <v>43814</v>
      </c>
      <c r="R89" s="167">
        <v>43820</v>
      </c>
      <c r="S89" s="164">
        <v>51</v>
      </c>
      <c r="T89" s="164">
        <v>0</v>
      </c>
      <c r="U89" s="85">
        <v>0</v>
      </c>
      <c r="V89" s="83">
        <v>1</v>
      </c>
      <c r="W89" s="169">
        <v>0</v>
      </c>
      <c r="X89" s="169">
        <v>0</v>
      </c>
      <c r="AA89" s="83">
        <v>0</v>
      </c>
    </row>
    <row r="90" spans="1:27">
      <c r="A90" s="162" t="s">
        <v>1185</v>
      </c>
      <c r="B90" s="162" t="s">
        <v>1365</v>
      </c>
      <c r="C90" s="162" t="s">
        <v>1167</v>
      </c>
      <c r="D90" s="162" t="s">
        <v>1383</v>
      </c>
      <c r="E90" s="162" t="s">
        <v>1364</v>
      </c>
      <c r="F90" s="162" t="s">
        <v>1365</v>
      </c>
      <c r="M90" s="162" t="s">
        <v>1366</v>
      </c>
      <c r="N90" s="162" t="s">
        <v>584</v>
      </c>
      <c r="O90" s="166">
        <v>43797</v>
      </c>
      <c r="P90" s="166">
        <v>43815</v>
      </c>
      <c r="Q90" s="166">
        <v>43793</v>
      </c>
      <c r="R90" s="167">
        <v>43799</v>
      </c>
      <c r="S90" s="164">
        <v>48</v>
      </c>
      <c r="T90" s="164">
        <v>2</v>
      </c>
      <c r="U90" s="85">
        <v>0</v>
      </c>
      <c r="V90" s="83">
        <v>1</v>
      </c>
      <c r="W90" s="169">
        <v>0</v>
      </c>
      <c r="X90" s="169">
        <v>0</v>
      </c>
      <c r="AA90" s="83">
        <v>0</v>
      </c>
    </row>
    <row r="91" spans="1:27">
      <c r="A91" s="162" t="s">
        <v>1185</v>
      </c>
      <c r="B91" s="162" t="s">
        <v>1365</v>
      </c>
      <c r="C91" s="162" t="s">
        <v>1167</v>
      </c>
      <c r="D91" s="162" t="s">
        <v>1383</v>
      </c>
      <c r="E91" s="162" t="s">
        <v>1364</v>
      </c>
      <c r="F91" s="162" t="s">
        <v>1365</v>
      </c>
      <c r="M91" s="162" t="s">
        <v>1366</v>
      </c>
      <c r="N91" s="162" t="s">
        <v>584</v>
      </c>
      <c r="O91" s="166">
        <v>43797</v>
      </c>
      <c r="P91" s="166">
        <v>43815</v>
      </c>
      <c r="Q91" s="166">
        <v>43800</v>
      </c>
      <c r="R91" s="167">
        <v>43806</v>
      </c>
      <c r="S91" s="164">
        <v>49</v>
      </c>
      <c r="T91" s="164">
        <v>5</v>
      </c>
      <c r="U91" s="85">
        <v>0</v>
      </c>
      <c r="V91" s="83">
        <v>1</v>
      </c>
      <c r="W91" s="169">
        <v>0</v>
      </c>
      <c r="X91" s="169">
        <v>0</v>
      </c>
      <c r="AA91" s="83">
        <v>0</v>
      </c>
    </row>
    <row r="92" spans="1:27">
      <c r="A92" s="162" t="s">
        <v>1185</v>
      </c>
      <c r="B92" s="162" t="s">
        <v>1365</v>
      </c>
      <c r="C92" s="162" t="s">
        <v>1167</v>
      </c>
      <c r="D92" s="162" t="s">
        <v>1383</v>
      </c>
      <c r="E92" s="162" t="s">
        <v>1364</v>
      </c>
      <c r="F92" s="162" t="s">
        <v>1365</v>
      </c>
      <c r="M92" s="162" t="s">
        <v>1366</v>
      </c>
      <c r="N92" s="162" t="s">
        <v>584</v>
      </c>
      <c r="O92" s="166">
        <v>43797</v>
      </c>
      <c r="P92" s="166">
        <v>43815</v>
      </c>
      <c r="Q92" s="166">
        <v>43807</v>
      </c>
      <c r="R92" s="167">
        <v>43813</v>
      </c>
      <c r="S92" s="164">
        <v>50</v>
      </c>
      <c r="T92" s="164">
        <v>5</v>
      </c>
      <c r="U92" s="85">
        <v>0</v>
      </c>
      <c r="V92" s="83">
        <v>1</v>
      </c>
      <c r="W92" s="169">
        <v>0</v>
      </c>
      <c r="X92" s="169">
        <v>0</v>
      </c>
      <c r="AA92" s="83">
        <v>0</v>
      </c>
    </row>
    <row r="93" spans="1:27">
      <c r="A93" s="162" t="s">
        <v>1185</v>
      </c>
      <c r="B93" s="162" t="s">
        <v>1365</v>
      </c>
      <c r="C93" s="162" t="s">
        <v>1167</v>
      </c>
      <c r="D93" s="162" t="s">
        <v>1383</v>
      </c>
      <c r="E93" s="162" t="s">
        <v>1364</v>
      </c>
      <c r="F93" s="162" t="s">
        <v>1365</v>
      </c>
      <c r="M93" s="162" t="s">
        <v>1366</v>
      </c>
      <c r="N93" s="162" t="s">
        <v>584</v>
      </c>
      <c r="O93" s="166">
        <v>43797</v>
      </c>
      <c r="P93" s="166">
        <v>43815</v>
      </c>
      <c r="Q93" s="166">
        <v>43814</v>
      </c>
      <c r="R93" s="167">
        <v>43820</v>
      </c>
      <c r="S93" s="164">
        <v>51</v>
      </c>
      <c r="T93" s="164">
        <v>1</v>
      </c>
      <c r="U93" s="85">
        <v>0</v>
      </c>
      <c r="V93" s="83">
        <v>1</v>
      </c>
      <c r="W93" s="169">
        <v>0</v>
      </c>
      <c r="X93" s="169">
        <v>0</v>
      </c>
      <c r="AA93" s="83">
        <v>0</v>
      </c>
    </row>
    <row r="94" spans="1:27">
      <c r="A94" s="162" t="s">
        <v>1185</v>
      </c>
      <c r="B94" s="162" t="s">
        <v>1367</v>
      </c>
      <c r="C94" s="162" t="s">
        <v>1167</v>
      </c>
      <c r="D94" s="162" t="s">
        <v>1383</v>
      </c>
      <c r="E94" s="162" t="s">
        <v>1364</v>
      </c>
      <c r="F94" s="162" t="s">
        <v>1367</v>
      </c>
      <c r="M94" s="162" t="s">
        <v>1368</v>
      </c>
      <c r="N94" s="162" t="s">
        <v>584</v>
      </c>
      <c r="O94" s="166">
        <v>43818</v>
      </c>
      <c r="P94" s="166">
        <v>43822</v>
      </c>
      <c r="Q94" s="166">
        <v>43814</v>
      </c>
      <c r="R94" s="167">
        <v>43820</v>
      </c>
      <c r="S94" s="164">
        <v>51</v>
      </c>
      <c r="T94" s="164">
        <v>2</v>
      </c>
      <c r="U94" s="85">
        <v>0</v>
      </c>
      <c r="V94" s="83">
        <v>1</v>
      </c>
      <c r="W94" s="169">
        <v>0</v>
      </c>
      <c r="X94" s="169">
        <v>0</v>
      </c>
      <c r="AA94" s="83">
        <v>0</v>
      </c>
    </row>
    <row r="95" spans="1:27">
      <c r="A95" s="162" t="s">
        <v>1185</v>
      </c>
      <c r="B95" s="162" t="s">
        <v>1367</v>
      </c>
      <c r="C95" s="162" t="s">
        <v>1167</v>
      </c>
      <c r="D95" s="162" t="s">
        <v>1383</v>
      </c>
      <c r="E95" s="162" t="s">
        <v>1364</v>
      </c>
      <c r="F95" s="162" t="s">
        <v>1367</v>
      </c>
      <c r="M95" s="162" t="s">
        <v>1368</v>
      </c>
      <c r="N95" s="162" t="s">
        <v>584</v>
      </c>
      <c r="O95" s="166">
        <v>43818</v>
      </c>
      <c r="P95" s="166">
        <v>43822</v>
      </c>
      <c r="Q95" s="166">
        <v>43821</v>
      </c>
      <c r="R95" s="167">
        <v>43827</v>
      </c>
      <c r="S95" s="164">
        <v>52</v>
      </c>
      <c r="T95" s="164">
        <v>1</v>
      </c>
      <c r="U95" s="85">
        <v>0</v>
      </c>
      <c r="V95" s="83">
        <v>1</v>
      </c>
      <c r="W95" s="169">
        <v>0</v>
      </c>
      <c r="X95" s="169">
        <v>0</v>
      </c>
      <c r="AA95" s="83">
        <v>0</v>
      </c>
    </row>
    <row r="96" spans="1:27">
      <c r="A96" s="162" t="s">
        <v>1185</v>
      </c>
      <c r="B96" s="162" t="s">
        <v>1370</v>
      </c>
      <c r="C96" s="162" t="s">
        <v>1167</v>
      </c>
      <c r="D96" s="162" t="s">
        <v>1384</v>
      </c>
      <c r="E96" s="162" t="s">
        <v>1369</v>
      </c>
      <c r="F96" s="162" t="s">
        <v>1370</v>
      </c>
      <c r="M96" s="162" t="s">
        <v>1371</v>
      </c>
      <c r="N96" s="162" t="s">
        <v>584</v>
      </c>
      <c r="O96" s="166">
        <v>43818</v>
      </c>
      <c r="P96" s="166">
        <v>43820</v>
      </c>
      <c r="Q96" s="166">
        <v>43814</v>
      </c>
      <c r="R96" s="167">
        <v>43820</v>
      </c>
      <c r="S96" s="164">
        <v>51</v>
      </c>
      <c r="T96" s="164">
        <v>2</v>
      </c>
      <c r="U96" s="85">
        <v>0</v>
      </c>
      <c r="V96" s="83">
        <v>1</v>
      </c>
      <c r="W96" s="169">
        <v>0</v>
      </c>
      <c r="X96" s="169">
        <v>0</v>
      </c>
      <c r="AA96" s="83">
        <v>0</v>
      </c>
    </row>
    <row r="97" spans="1:27">
      <c r="A97" s="162" t="s">
        <v>1185</v>
      </c>
      <c r="B97" s="162" t="s">
        <v>1373</v>
      </c>
      <c r="C97" s="162" t="s">
        <v>1167</v>
      </c>
      <c r="D97" s="162" t="s">
        <v>1384</v>
      </c>
      <c r="E97" s="162" t="s">
        <v>1372</v>
      </c>
      <c r="F97" s="162" t="s">
        <v>1373</v>
      </c>
      <c r="M97" s="162" t="s">
        <v>1374</v>
      </c>
      <c r="N97" s="162" t="s">
        <v>584</v>
      </c>
      <c r="O97" s="166">
        <v>43822</v>
      </c>
      <c r="P97" s="166">
        <v>43824</v>
      </c>
      <c r="Q97" s="166">
        <v>43821</v>
      </c>
      <c r="R97" s="167">
        <v>43827</v>
      </c>
      <c r="S97" s="164">
        <v>52</v>
      </c>
      <c r="T97" s="164">
        <v>2</v>
      </c>
      <c r="U97" s="85">
        <v>0</v>
      </c>
      <c r="V97" s="83">
        <v>1</v>
      </c>
      <c r="W97" s="169">
        <v>0</v>
      </c>
      <c r="X97" s="169">
        <v>0</v>
      </c>
      <c r="AA97" s="83">
        <v>0</v>
      </c>
    </row>
    <row r="98" spans="1:27">
      <c r="A98" s="162" t="s">
        <v>1185</v>
      </c>
      <c r="B98" s="162" t="s">
        <v>1375</v>
      </c>
      <c r="C98" s="162" t="s">
        <v>1167</v>
      </c>
      <c r="D98" s="162" t="s">
        <v>1384</v>
      </c>
      <c r="E98" s="162" t="s">
        <v>1372</v>
      </c>
      <c r="F98" s="162" t="s">
        <v>1375</v>
      </c>
      <c r="M98" s="162" t="s">
        <v>1376</v>
      </c>
      <c r="N98" s="162" t="s">
        <v>584</v>
      </c>
      <c r="O98" s="166">
        <v>43822</v>
      </c>
      <c r="P98" s="166">
        <v>43824</v>
      </c>
      <c r="Q98" s="166">
        <v>43821</v>
      </c>
      <c r="R98" s="167">
        <v>43827</v>
      </c>
      <c r="S98" s="164">
        <v>52</v>
      </c>
      <c r="T98" s="164">
        <v>2</v>
      </c>
      <c r="U98" s="85">
        <v>0</v>
      </c>
      <c r="V98" s="83">
        <v>1</v>
      </c>
      <c r="W98" s="169">
        <v>0</v>
      </c>
      <c r="X98" s="169">
        <v>0</v>
      </c>
      <c r="AA98" s="83">
        <v>0</v>
      </c>
    </row>
    <row r="99" spans="1:27">
      <c r="A99" s="162" t="s">
        <v>1185</v>
      </c>
      <c r="B99" s="162" t="s">
        <v>1377</v>
      </c>
      <c r="C99" s="162" t="s">
        <v>1167</v>
      </c>
      <c r="D99" s="162" t="s">
        <v>1384</v>
      </c>
      <c r="E99" s="162" t="s">
        <v>1372</v>
      </c>
      <c r="F99" s="162" t="s">
        <v>1377</v>
      </c>
      <c r="M99" s="162" t="s">
        <v>1378</v>
      </c>
      <c r="N99" s="162" t="s">
        <v>584</v>
      </c>
      <c r="O99" s="166">
        <v>43822</v>
      </c>
      <c r="P99" s="166">
        <v>43824</v>
      </c>
      <c r="Q99" s="166">
        <v>43821</v>
      </c>
      <c r="R99" s="167">
        <v>43827</v>
      </c>
      <c r="S99" s="164">
        <v>52</v>
      </c>
      <c r="T99" s="164">
        <v>2</v>
      </c>
      <c r="U99" s="85">
        <v>0</v>
      </c>
      <c r="V99" s="83">
        <v>1</v>
      </c>
      <c r="W99" s="169">
        <v>0</v>
      </c>
      <c r="X99" s="169">
        <v>0</v>
      </c>
      <c r="AA99" s="83">
        <v>0</v>
      </c>
    </row>
    <row r="100" spans="1:27">
      <c r="A100" s="162" t="s">
        <v>1185</v>
      </c>
      <c r="B100" s="162" t="s">
        <v>1379</v>
      </c>
      <c r="C100" s="162" t="s">
        <v>1167</v>
      </c>
      <c r="D100" s="162" t="s">
        <v>1384</v>
      </c>
      <c r="E100" s="162" t="s">
        <v>1372</v>
      </c>
      <c r="F100" s="162" t="s">
        <v>1379</v>
      </c>
      <c r="M100" s="162" t="s">
        <v>1380</v>
      </c>
      <c r="N100" s="162" t="s">
        <v>584</v>
      </c>
      <c r="O100" s="166">
        <v>43825</v>
      </c>
      <c r="P100" s="166">
        <v>43825</v>
      </c>
      <c r="Q100" s="166">
        <v>43821</v>
      </c>
      <c r="R100" s="167">
        <v>43827</v>
      </c>
      <c r="S100" s="164">
        <v>52</v>
      </c>
      <c r="T100" s="164">
        <v>1</v>
      </c>
      <c r="U100" s="85">
        <v>0</v>
      </c>
      <c r="V100" s="83">
        <v>1</v>
      </c>
      <c r="W100" s="169">
        <v>0</v>
      </c>
      <c r="X100" s="169">
        <v>0</v>
      </c>
      <c r="AA100" s="83">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E27" sqref="E27"/>
    </sheetView>
  </sheetViews>
  <sheetFormatPr defaultRowHeight="17.399999999999999"/>
  <cols>
    <col min="1" max="1" width="16"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137" bestFit="1" customWidth="1"/>
    <col min="11" max="11" width="24.8984375" style="137" bestFit="1" customWidth="1"/>
    <col min="12" max="12" width="9.09765625" bestFit="1" customWidth="1"/>
    <col min="14" max="14" width="11" bestFit="1" customWidth="1"/>
    <col min="15" max="15" width="7.09765625" bestFit="1" customWidth="1"/>
    <col min="17" max="18" width="11" bestFit="1" customWidth="1"/>
    <col min="19" max="19" width="13" bestFit="1" customWidth="1"/>
    <col min="20" max="20" width="11" bestFit="1" customWidth="1"/>
    <col min="21" max="21" width="7.09765625" bestFit="1" customWidth="1"/>
    <col min="22" max="22" width="13.5" bestFit="1" customWidth="1"/>
    <col min="23" max="23" width="7.09765625" bestFit="1" customWidth="1"/>
    <col min="24" max="25" width="11" bestFit="1" customWidth="1"/>
  </cols>
  <sheetData>
    <row r="1" spans="1:25">
      <c r="A1" s="185" t="s">
        <v>1013</v>
      </c>
      <c r="B1" s="185" t="s">
        <v>1017</v>
      </c>
      <c r="C1" s="185" t="s">
        <v>1014</v>
      </c>
      <c r="D1" s="185" t="s">
        <v>1015</v>
      </c>
      <c r="E1" s="185" t="s">
        <v>1012</v>
      </c>
      <c r="F1" s="185" t="s">
        <v>346</v>
      </c>
      <c r="G1" s="185" t="s">
        <v>603</v>
      </c>
      <c r="H1" s="185" t="s">
        <v>540</v>
      </c>
      <c r="I1" s="186" t="s">
        <v>582</v>
      </c>
      <c r="J1" s="186" t="s">
        <v>583</v>
      </c>
      <c r="K1" s="186" t="s">
        <v>1245</v>
      </c>
      <c r="L1" s="185" t="s">
        <v>127</v>
      </c>
      <c r="M1" s="185" t="s">
        <v>604</v>
      </c>
      <c r="N1" s="185" t="s">
        <v>605</v>
      </c>
      <c r="O1" s="185" t="s">
        <v>606</v>
      </c>
      <c r="P1" s="185" t="s">
        <v>607</v>
      </c>
      <c r="Q1" s="185" t="s">
        <v>608</v>
      </c>
      <c r="R1" s="185" t="s">
        <v>609</v>
      </c>
      <c r="S1" s="185" t="s">
        <v>610</v>
      </c>
      <c r="T1" s="185" t="s">
        <v>611</v>
      </c>
      <c r="U1" s="185" t="s">
        <v>541</v>
      </c>
      <c r="V1" s="185" t="s">
        <v>542</v>
      </c>
      <c r="W1" s="185" t="s">
        <v>543</v>
      </c>
      <c r="X1" s="185" t="s">
        <v>809</v>
      </c>
      <c r="Y1" s="185" t="s">
        <v>636</v>
      </c>
    </row>
    <row r="2" spans="1:25">
      <c r="B2" t="s">
        <v>1048</v>
      </c>
      <c r="C2" t="s">
        <v>1301</v>
      </c>
      <c r="D2" t="s">
        <v>1064</v>
      </c>
      <c r="E2">
        <v>1</v>
      </c>
      <c r="F2" t="s">
        <v>1064</v>
      </c>
      <c r="G2" t="s">
        <v>1214</v>
      </c>
      <c r="I2" s="137">
        <v>43724</v>
      </c>
      <c r="J2" s="137">
        <v>43791</v>
      </c>
      <c r="X2">
        <v>0</v>
      </c>
      <c r="Y2">
        <v>0</v>
      </c>
    </row>
    <row r="3" spans="1:25">
      <c r="B3" s="137">
        <v>43709</v>
      </c>
      <c r="C3" t="s">
        <v>1387</v>
      </c>
      <c r="D3" t="s">
        <v>1167</v>
      </c>
      <c r="E3">
        <v>2</v>
      </c>
      <c r="F3" t="s">
        <v>1177</v>
      </c>
      <c r="G3" t="s">
        <v>687</v>
      </c>
      <c r="I3" s="137">
        <v>43724</v>
      </c>
      <c r="J3" s="137">
        <v>43728</v>
      </c>
      <c r="X3">
        <v>0</v>
      </c>
      <c r="Y3">
        <v>0</v>
      </c>
    </row>
    <row r="4" spans="1:25">
      <c r="B4" s="137">
        <v>43799</v>
      </c>
      <c r="C4" t="s">
        <v>1388</v>
      </c>
      <c r="D4" t="s">
        <v>1184</v>
      </c>
      <c r="E4">
        <v>3</v>
      </c>
      <c r="F4" t="s">
        <v>1178</v>
      </c>
      <c r="G4" t="s">
        <v>1215</v>
      </c>
      <c r="I4" s="137">
        <v>43724</v>
      </c>
      <c r="J4" s="137">
        <v>43727</v>
      </c>
      <c r="V4" t="s">
        <v>1235</v>
      </c>
      <c r="X4" s="144">
        <v>1</v>
      </c>
      <c r="Y4" s="144">
        <v>1</v>
      </c>
    </row>
    <row r="5" spans="1:25">
      <c r="B5" s="144">
        <v>0.45</v>
      </c>
      <c r="C5" t="s">
        <v>1389</v>
      </c>
      <c r="D5" t="s">
        <v>1185</v>
      </c>
      <c r="E5">
        <v>3</v>
      </c>
      <c r="F5" t="s">
        <v>1179</v>
      </c>
      <c r="G5" t="s">
        <v>1216</v>
      </c>
      <c r="I5" s="137">
        <v>43728</v>
      </c>
      <c r="J5" s="137">
        <v>43728</v>
      </c>
      <c r="K5" s="137" t="s">
        <v>1243</v>
      </c>
      <c r="Q5" s="137"/>
      <c r="X5" s="144">
        <v>1</v>
      </c>
      <c r="Y5" s="144">
        <v>1</v>
      </c>
    </row>
    <row r="6" spans="1:25">
      <c r="B6" s="170">
        <v>0.43330000000000002</v>
      </c>
      <c r="C6" t="s">
        <v>1390</v>
      </c>
      <c r="D6" t="s">
        <v>1202</v>
      </c>
      <c r="E6">
        <v>3</v>
      </c>
      <c r="F6" t="s">
        <v>1227</v>
      </c>
      <c r="G6" t="s">
        <v>1217</v>
      </c>
      <c r="I6" s="137">
        <v>43724</v>
      </c>
      <c r="J6" s="137">
        <v>43726</v>
      </c>
      <c r="V6" t="s">
        <v>1236</v>
      </c>
      <c r="X6">
        <v>0</v>
      </c>
      <c r="Y6">
        <v>0</v>
      </c>
    </row>
    <row r="7" spans="1:25">
      <c r="C7" t="s">
        <v>1391</v>
      </c>
      <c r="D7" t="s">
        <v>1203</v>
      </c>
      <c r="E7">
        <v>3</v>
      </c>
      <c r="F7" t="s">
        <v>1228</v>
      </c>
      <c r="G7" t="s">
        <v>1218</v>
      </c>
      <c r="I7" s="137">
        <v>43727</v>
      </c>
      <c r="J7" s="137">
        <v>43728</v>
      </c>
      <c r="V7" t="s">
        <v>1236</v>
      </c>
      <c r="X7">
        <v>0</v>
      </c>
      <c r="Y7">
        <v>0</v>
      </c>
    </row>
    <row r="8" spans="1:25">
      <c r="C8" t="s">
        <v>1392</v>
      </c>
      <c r="D8" t="s">
        <v>1204</v>
      </c>
      <c r="E8">
        <v>2</v>
      </c>
      <c r="F8" t="s">
        <v>1180</v>
      </c>
      <c r="G8" t="s">
        <v>1011</v>
      </c>
      <c r="I8" s="137">
        <v>43731</v>
      </c>
      <c r="J8" s="137">
        <v>43749</v>
      </c>
      <c r="X8">
        <v>0</v>
      </c>
      <c r="Y8">
        <v>0</v>
      </c>
    </row>
    <row r="9" spans="1:25">
      <c r="C9" t="s">
        <v>1393</v>
      </c>
      <c r="D9" t="s">
        <v>1205</v>
      </c>
      <c r="E9">
        <v>3</v>
      </c>
      <c r="F9" t="s">
        <v>1181</v>
      </c>
      <c r="G9" t="s">
        <v>1219</v>
      </c>
      <c r="I9" s="137">
        <v>43731</v>
      </c>
      <c r="J9" s="137">
        <v>43735</v>
      </c>
      <c r="V9" t="s">
        <v>1237</v>
      </c>
      <c r="X9">
        <v>0</v>
      </c>
      <c r="Y9">
        <v>0</v>
      </c>
    </row>
    <row r="10" spans="1:25">
      <c r="C10" t="s">
        <v>1394</v>
      </c>
      <c r="D10" t="s">
        <v>1206</v>
      </c>
      <c r="E10">
        <v>3</v>
      </c>
      <c r="F10" t="s">
        <v>1229</v>
      </c>
      <c r="G10" t="s">
        <v>1220</v>
      </c>
      <c r="I10" s="137">
        <v>43738</v>
      </c>
      <c r="J10" s="137">
        <v>43749</v>
      </c>
      <c r="V10" t="s">
        <v>1237</v>
      </c>
      <c r="X10">
        <v>0</v>
      </c>
      <c r="Y10">
        <v>0</v>
      </c>
    </row>
    <row r="11" spans="1:25">
      <c r="D11" t="s">
        <v>1207</v>
      </c>
      <c r="E11">
        <v>2</v>
      </c>
      <c r="F11" t="s">
        <v>1182</v>
      </c>
      <c r="G11" t="s">
        <v>1221</v>
      </c>
      <c r="I11" s="137">
        <v>43752</v>
      </c>
      <c r="J11" s="137">
        <v>43777</v>
      </c>
      <c r="X11">
        <v>0</v>
      </c>
      <c r="Y11">
        <v>0</v>
      </c>
    </row>
    <row r="12" spans="1:25">
      <c r="D12" t="s">
        <v>1208</v>
      </c>
      <c r="E12">
        <v>3</v>
      </c>
      <c r="F12" t="s">
        <v>1183</v>
      </c>
      <c r="G12" t="s">
        <v>1222</v>
      </c>
      <c r="I12" s="137">
        <v>43752</v>
      </c>
      <c r="J12" s="137">
        <v>43770</v>
      </c>
      <c r="X12">
        <v>0</v>
      </c>
      <c r="Y12">
        <v>0</v>
      </c>
    </row>
    <row r="13" spans="1:25">
      <c r="D13" t="s">
        <v>1209</v>
      </c>
      <c r="E13">
        <v>3</v>
      </c>
      <c r="F13" t="s">
        <v>1230</v>
      </c>
      <c r="G13" t="s">
        <v>1223</v>
      </c>
      <c r="I13" s="137">
        <v>43773</v>
      </c>
      <c r="J13" s="137">
        <v>43777</v>
      </c>
      <c r="V13" t="s">
        <v>1238</v>
      </c>
      <c r="X13">
        <v>0</v>
      </c>
      <c r="Y13">
        <v>0</v>
      </c>
    </row>
    <row r="14" spans="1:25">
      <c r="D14" t="s">
        <v>1210</v>
      </c>
      <c r="E14">
        <v>2</v>
      </c>
      <c r="F14" t="s">
        <v>1231</v>
      </c>
      <c r="G14" t="s">
        <v>1224</v>
      </c>
      <c r="I14" s="137">
        <v>43780</v>
      </c>
      <c r="J14" s="137">
        <v>43791</v>
      </c>
      <c r="X14">
        <v>0</v>
      </c>
      <c r="Y14">
        <v>0</v>
      </c>
    </row>
    <row r="15" spans="1:25">
      <c r="D15" t="s">
        <v>1211</v>
      </c>
      <c r="E15">
        <v>3</v>
      </c>
      <c r="F15" t="s">
        <v>1232</v>
      </c>
      <c r="G15" t="s">
        <v>1225</v>
      </c>
      <c r="I15" s="137">
        <v>43780</v>
      </c>
      <c r="J15" s="137">
        <v>43784</v>
      </c>
      <c r="V15" t="s">
        <v>1239</v>
      </c>
      <c r="X15">
        <v>0</v>
      </c>
      <c r="Y15">
        <v>0</v>
      </c>
    </row>
    <row r="16" spans="1:25">
      <c r="D16" t="s">
        <v>1212</v>
      </c>
      <c r="E16">
        <v>3</v>
      </c>
      <c r="F16" t="s">
        <v>1233</v>
      </c>
      <c r="G16" t="s">
        <v>1226</v>
      </c>
      <c r="I16" s="137">
        <v>43787</v>
      </c>
      <c r="J16" s="137">
        <v>43789</v>
      </c>
      <c r="K16" s="137" t="s">
        <v>1244</v>
      </c>
      <c r="V16" t="s">
        <v>1240</v>
      </c>
      <c r="X16">
        <v>0</v>
      </c>
      <c r="Y16">
        <v>0</v>
      </c>
    </row>
    <row r="17" spans="4:25">
      <c r="D17" t="s">
        <v>1213</v>
      </c>
      <c r="E17">
        <v>3</v>
      </c>
      <c r="F17" t="s">
        <v>1234</v>
      </c>
      <c r="G17" t="s">
        <v>1242</v>
      </c>
      <c r="I17" s="137">
        <v>43790</v>
      </c>
      <c r="J17" s="137">
        <v>43791</v>
      </c>
      <c r="V17" t="s">
        <v>1241</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donghwan kim</cp:lastModifiedBy>
  <cp:lastPrinted>2019-08-24T08:53:04Z</cp:lastPrinted>
  <dcterms:created xsi:type="dcterms:W3CDTF">2018-02-18T09:45:14Z</dcterms:created>
  <dcterms:modified xsi:type="dcterms:W3CDTF">2020-04-20T07:17:15Z</dcterms:modified>
</cp:coreProperties>
</file>